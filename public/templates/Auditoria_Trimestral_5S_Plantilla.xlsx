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t_pin\Downloads\"/>
    </mc:Choice>
  </mc:AlternateContent>
  <xr:revisionPtr revIDLastSave="0" documentId="8_{DF50A914-2627-42BE-BAF1-14A4DB5960F3}" xr6:coauthVersionLast="47" xr6:coauthVersionMax="47" xr10:uidLastSave="{00000000-0000-0000-0000-000000000000}"/>
  <bookViews>
    <workbookView xWindow="-120" yWindow="-120" windowWidth="20730" windowHeight="11160" activeTab="4" xr2:uid="{00000000-000D-0000-FFFF-FFFF00000000}"/>
  </bookViews>
  <sheets>
    <sheet name="TIPO A Comienzo" sheetId="1" r:id="rId1"/>
    <sheet name="TIPO A 1ªS" sheetId="2" r:id="rId2"/>
    <sheet name="TIPO A 2ªS" sheetId="32" r:id="rId3"/>
    <sheet name="TIPO A 3ªS" sheetId="33" r:id="rId4"/>
    <sheet name="TIPO A 4ªS" sheetId="34" r:id="rId5"/>
    <sheet name="TIPO A 5ª" sheetId="35" r:id="rId6"/>
    <sheet name="TIPO A Diagrama Radar T1" sheetId="36" r:id="rId7"/>
  </sheets>
  <definedNames>
    <definedName name="_xlnm.Print_Area" localSheetId="1">'TIPO A 1ªS'!$A$1:$V$44</definedName>
    <definedName name="_xlnm.Print_Area" localSheetId="2">'TIPO A 2ªS'!$A$1:$V$36</definedName>
    <definedName name="_xlnm.Print_Area" localSheetId="3">'TIPO A 3ªS'!$A$1:$V$45</definedName>
    <definedName name="_xlnm.Print_Area" localSheetId="4">'TIPO A 4ªS'!$A$1:$V$46</definedName>
    <definedName name="_xlnm.Print_Area" localSheetId="5">'TIPO A 5ª'!$A$1:$V$27</definedName>
    <definedName name="_xlnm.Print_Area" localSheetId="0">'TIPO A Comienzo'!$A$1:$L$19</definedName>
    <definedName name="_xlnm.Print_Area" localSheetId="6">'TIPO A Diagrama Radar T1'!$A$1:$M$12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6" i="2" l="1"/>
  <c r="F36" i="34" l="1"/>
  <c r="E36" i="34"/>
  <c r="D36" i="34"/>
  <c r="F35" i="33"/>
  <c r="E35" i="33"/>
  <c r="D35" i="33"/>
  <c r="F30" i="32"/>
  <c r="E30" i="32"/>
  <c r="D30" i="32"/>
  <c r="D36" i="2"/>
  <c r="F36" i="2"/>
  <c r="K48" i="36"/>
  <c r="K47" i="36"/>
  <c r="G39" i="36"/>
  <c r="G38" i="36"/>
  <c r="G29" i="36"/>
  <c r="G28" i="36"/>
  <c r="G19" i="36"/>
  <c r="G18" i="36"/>
  <c r="G9" i="36"/>
  <c r="G8" i="36"/>
  <c r="C49" i="36" s="1"/>
  <c r="C48" i="36" l="1"/>
  <c r="C46" i="36"/>
  <c r="C47" i="36"/>
  <c r="C35" i="2"/>
  <c r="D21" i="35"/>
  <c r="D22" i="35" s="1"/>
  <c r="D25" i="35" s="1"/>
  <c r="F17" i="36" s="1"/>
  <c r="E21" i="35"/>
  <c r="F21" i="35"/>
  <c r="C21" i="35"/>
  <c r="C22" i="35" s="1"/>
  <c r="C25" i="35" s="1"/>
  <c r="F7" i="36" s="1"/>
  <c r="F22" i="35"/>
  <c r="F25" i="35" s="1"/>
  <c r="F37" i="36" s="1"/>
  <c r="E22" i="35"/>
  <c r="E25" i="35" s="1"/>
  <c r="F27" i="36" s="1"/>
  <c r="F35" i="34"/>
  <c r="F39" i="34" s="1"/>
  <c r="E37" i="36" s="1"/>
  <c r="E35" i="34"/>
  <c r="E39" i="34" s="1"/>
  <c r="E27" i="36" s="1"/>
  <c r="D35" i="34"/>
  <c r="D39" i="34" s="1"/>
  <c r="E17" i="36" s="1"/>
  <c r="C35" i="34"/>
  <c r="F34" i="33"/>
  <c r="F38" i="33" s="1"/>
  <c r="D37" i="36" s="1"/>
  <c r="E34" i="33"/>
  <c r="E38" i="33" s="1"/>
  <c r="D34" i="33"/>
  <c r="D38" i="33" s="1"/>
  <c r="D17" i="36" s="1"/>
  <c r="C34" i="33"/>
  <c r="C29" i="32"/>
  <c r="F29" i="32"/>
  <c r="F33" i="32" s="1"/>
  <c r="C37" i="36" s="1"/>
  <c r="E29" i="32"/>
  <c r="E33" i="32" s="1"/>
  <c r="D29" i="32"/>
  <c r="D33" i="32" s="1"/>
  <c r="C17" i="36" s="1"/>
  <c r="D35" i="2"/>
  <c r="D39" i="2" s="1"/>
  <c r="B17" i="36" s="1"/>
  <c r="E35" i="2"/>
  <c r="E39" i="2" s="1"/>
  <c r="B27" i="36" s="1"/>
  <c r="F35" i="2"/>
  <c r="F39" i="2" s="1"/>
  <c r="B37" i="36" s="1"/>
  <c r="J46" i="36" l="1"/>
  <c r="C36" i="34"/>
  <c r="C39" i="34" s="1"/>
  <c r="E7" i="36" s="1"/>
  <c r="I46" i="36" s="1"/>
  <c r="C35" i="33"/>
  <c r="C38" i="33" s="1"/>
  <c r="D7" i="36" s="1"/>
  <c r="H46" i="36" s="1"/>
  <c r="C30" i="32"/>
  <c r="C33" i="32" s="1"/>
  <c r="C7" i="36" s="1"/>
  <c r="C36" i="2"/>
  <c r="C39" i="2" s="1"/>
  <c r="B7" i="36" s="1"/>
  <c r="G37" i="36"/>
  <c r="M36" i="36" s="1"/>
  <c r="D27" i="36"/>
  <c r="C27" i="36"/>
  <c r="G17" i="36"/>
  <c r="M16" i="36" s="1"/>
  <c r="G46" i="36" l="1"/>
  <c r="F46" i="36"/>
  <c r="G7" i="36"/>
  <c r="M6" i="36" s="1"/>
  <c r="B49" i="36"/>
  <c r="B47" i="36"/>
  <c r="G27" i="36"/>
  <c r="B46" i="36" l="1"/>
  <c r="K46" i="36"/>
  <c r="L45" i="36" s="1"/>
  <c r="M26" i="36"/>
  <c r="B48" i="36"/>
</calcChain>
</file>

<file path=xl/sharedStrings.xml><?xml version="1.0" encoding="utf-8"?>
<sst xmlns="http://schemas.openxmlformats.org/spreadsheetml/2006/main" count="460" uniqueCount="228">
  <si>
    <t>1S</t>
  </si>
  <si>
    <t>T1</t>
  </si>
  <si>
    <t>T2</t>
  </si>
  <si>
    <t>T3</t>
  </si>
  <si>
    <t>T4</t>
  </si>
  <si>
    <t>1.1</t>
  </si>
  <si>
    <t>1.2</t>
  </si>
  <si>
    <t>1.3</t>
  </si>
  <si>
    <t>1.4</t>
  </si>
  <si>
    <t>1.5</t>
  </si>
  <si>
    <t>2S</t>
  </si>
  <si>
    <t>3S</t>
  </si>
  <si>
    <t>4S</t>
  </si>
  <si>
    <t>4.1</t>
  </si>
  <si>
    <t>4.2</t>
  </si>
  <si>
    <t>4.3</t>
  </si>
  <si>
    <t>4.4</t>
  </si>
  <si>
    <t>4.5</t>
  </si>
  <si>
    <t>5S</t>
  </si>
  <si>
    <t>5.1</t>
  </si>
  <si>
    <t>5.2</t>
  </si>
  <si>
    <t>5.3</t>
  </si>
  <si>
    <t>Fecha</t>
  </si>
  <si>
    <t>Resultado</t>
  </si>
  <si>
    <t>Min</t>
  </si>
  <si>
    <t>Max</t>
  </si>
  <si>
    <t>Objetivo</t>
  </si>
  <si>
    <t>Tendencia</t>
  </si>
  <si>
    <t>Materia Prima</t>
  </si>
  <si>
    <t>Consumibles</t>
  </si>
  <si>
    <t>Producto acabado o en proceso</t>
  </si>
  <si>
    <t>Máquinas (Inducción, bombeo, apriete, engrase…)</t>
  </si>
  <si>
    <t xml:space="preserve">Utillajes (volteo, apoyo, montaje…) </t>
  </si>
  <si>
    <t>Equipos y accesorios de Elevación (Grúas, eslingas, cáncamos, cables, grilletes…)</t>
  </si>
  <si>
    <t>Equipos de ensayo (galgas, testers, banco de pruebas…)</t>
  </si>
  <si>
    <t xml:space="preserve">Herramientas de ensamblaje </t>
  </si>
  <si>
    <t>Contenedores vacios, cajas, bidones, botes, cubos…</t>
  </si>
  <si>
    <t>Pallets u otros elementos de apoyo, tacos</t>
  </si>
  <si>
    <t xml:space="preserve">Bolsas, plásticos , protecciones, elementos de flejado </t>
  </si>
  <si>
    <t>Productos de limpieza, paños, escobas…</t>
  </si>
  <si>
    <t>Bancos de trabajo</t>
  </si>
  <si>
    <t>Paneles herramienta</t>
  </si>
  <si>
    <t>Armarios o taquillas</t>
  </si>
  <si>
    <t>Sillas, mesas</t>
  </si>
  <si>
    <t>Posters u otra información divulgativa</t>
  </si>
  <si>
    <t>MATERIALES</t>
  </si>
  <si>
    <t>MÁQUINAS Y EQUIPOS</t>
  </si>
  <si>
    <t>Equipos de transporte (Carretillas, transpaletas,plataformas elevadoras, vehículos…)</t>
  </si>
  <si>
    <t>TRANSPORTE Y ALMACENAJE</t>
  </si>
  <si>
    <t>MOBILIARIO</t>
  </si>
  <si>
    <t>INFORMACIÓN</t>
  </si>
  <si>
    <t>Paneles u otros soportes para información</t>
  </si>
  <si>
    <t xml:space="preserve">Gráficos o indicadores </t>
  </si>
  <si>
    <t>Planos o Instrucciones de trabajo</t>
  </si>
  <si>
    <t>Carpetas o bandejas con documentación innecesaria</t>
  </si>
  <si>
    <t>Resultado %</t>
  </si>
  <si>
    <t>EQUIPOS Y MÁQUINAS</t>
  </si>
  <si>
    <t>PASILLOS Y LUGARES DE UBICACIÓN</t>
  </si>
  <si>
    <t>SEÑALIZACIÓN</t>
  </si>
  <si>
    <t>STOCKS DE MATERIAL</t>
  </si>
  <si>
    <t>La identificación anterior es visible (no es necesario manipular partes del equipo)</t>
  </si>
  <si>
    <t>Los pasillos y zonas de trabajo delimitados claramente</t>
  </si>
  <si>
    <t>Los pallets de entrada y salida de material</t>
  </si>
  <si>
    <t>Los equipos móviles (escaleras, transpaletas, carros, utillajes sobre ruedas)</t>
  </si>
  <si>
    <t>Los medios de transporte (transpaletas, platafomas, carretillas, coches, camiones…)</t>
  </si>
  <si>
    <t>Se puede reconocer cuando las máquinas están en tensión (con señal lumisosa tipo led o similar)</t>
  </si>
  <si>
    <t>Existe señalización de peligro cuando las máquinas están en funcionamiento (luz rotatoria luminosa, señal destellante, aviso sonoro, balizamiento o cartel advertencia)</t>
  </si>
  <si>
    <t>Están señalizados de forma visible e inequívoca los mandos de maniobra de los equipos y máquinas (sentido de movimiento, on/off, stop, parada de emergencia…)</t>
  </si>
  <si>
    <t>La señalización del lugar es adecuada y visible desde todos los puntos (en especial la relativa a medios de extinción y vías de evacuación)</t>
  </si>
  <si>
    <t>Están identificados los materiales en el área de trabajo?</t>
  </si>
  <si>
    <t>La identificación informa acerca del cliente y proveedor</t>
  </si>
  <si>
    <t>La identificación contiene la denominación del material, referencia o artículo</t>
  </si>
  <si>
    <t>Las etiquetas identificativas están en buenas condiciones, son claras y visibles</t>
  </si>
  <si>
    <t>Los equipos y máquinas están identificados con su número de equipo correspondiente</t>
  </si>
  <si>
    <t>Las herramientas cuentan con ubicaciones señalizadas inequivocamente (sistemas poka-yoke, siluetas, etiquetas identificativas)</t>
  </si>
  <si>
    <t>Es correcta la información, coincide esta con el material al que identifican y su ubicación</t>
  </si>
  <si>
    <t>MÁQUINAS O PUESTOS DE TRABAJO</t>
  </si>
  <si>
    <t>ENTORNO DE TRABAJO</t>
  </si>
  <si>
    <t>HERRAMIENTAS Y EQUIPOS</t>
  </si>
  <si>
    <t>MANTENER LIMPIO</t>
  </si>
  <si>
    <t>KIT DE LIMPIEZA</t>
  </si>
  <si>
    <t>Suelos</t>
  </si>
  <si>
    <t>Máquinas herramienta o grandes utillajes anclados al suelo (volteo o anclaje de piezas para ensamblar)</t>
  </si>
  <si>
    <t>Paredes, columnas, techos, ventanas, puertas, alfeizares…</t>
  </si>
  <si>
    <t>Mesas, taburetes, sillas</t>
  </si>
  <si>
    <t>Bancos de trabajo o de pruebas</t>
  </si>
  <si>
    <t xml:space="preserve">Andamios </t>
  </si>
  <si>
    <t>Los equipos de trabajo, bombas de apriete, útiles...</t>
  </si>
  <si>
    <t>Están limpios los equipos y accesorios de elevación</t>
  </si>
  <si>
    <t>Grúas, carretillas y otros vehículos móviles</t>
  </si>
  <si>
    <t>Paneles informativos y de gestión operativa (producción, indicadores…)</t>
  </si>
  <si>
    <t>Se mantienen límpio el equipamiento en el interior de los armarios y/o cajones, incluso si no se está usando</t>
  </si>
  <si>
    <t>¿Se sabe quién debe limpiar, cuándo y dónde?</t>
  </si>
  <si>
    <t>¿Cubre las necesidades de la zona? (tener en cuenta el resultado en los puntos anteriores)</t>
  </si>
  <si>
    <t>Están limpios los Equipos de Protección Individual EPI (gafas, protección respiratoria, cascos, guantes…)</t>
  </si>
  <si>
    <t>Se evidencia una tendencia a manchar menos en la rutina del trabajo diario (la ropa de trabajo se mantiene limpia, no se dejan huellas en superficies limpias, se limpia cuando se ensucia, no hay basura en lugares de paso…)</t>
  </si>
  <si>
    <t>Hay un kit de limpieza básico disponible en la zona?</t>
  </si>
  <si>
    <t>Es adecuado el kit de limpieza al tipo de suciedad y superficies a limpiar? (desengrasante si hay que limpiar grasa, escoba si hay que barrer…)</t>
  </si>
  <si>
    <t>La cantidad de contenedores es adecuada a los residuos generados, estos no están excesivamente llenos (tapa cerrada) ni hay basura fuera del contenedor.</t>
  </si>
  <si>
    <t>Se realiza una recogida selectiva de los residuos (como mínimo los residuos peligrosos deben estar separados de los residuos inertes)</t>
  </si>
  <si>
    <t>Están limpias las herramientas? Se pueden manipular sin mancharse? (no hay restos de grasas, silicona, pintura seca..)</t>
  </si>
  <si>
    <t>¿Se realiza la limpieza según lo planificado? (frecuencia, dedicación de tiempo, etc..)</t>
  </si>
  <si>
    <t>Las ubicaciones en el suelo son respetadas, todo está ubicado en su lugar correspondiente</t>
  </si>
  <si>
    <t>Las ubicaciones de las herramientas en los paneles y cajas (incluso en el interior) son respetadas, no se encuentran herramientas fuera de ubicación</t>
  </si>
  <si>
    <t>RESPETAR ESTANDARES</t>
  </si>
  <si>
    <t>Se aplican los estándares creados en una zona o departamento en el resto de zonas (copiar-pegar). No hay diferentes estándares para la misma función (diferentes códigos de colores, formatos, señalización, etc)</t>
  </si>
  <si>
    <t>La documentación se encuentra organizada y clasificada de forma que facilita su localización</t>
  </si>
  <si>
    <t>INSPECCIÓN Y MANTENIMIENTO</t>
  </si>
  <si>
    <t>Existen planes de inspección para máquinas y equipos de trabajo que requieran mantenimiento periódico?</t>
  </si>
  <si>
    <t>Podemos reconcocer visaulmente si las máquinas y equipos han pasado la inspección periodica correspondiente de forma favorable. (con etiquetas de colores o sistemas análogos)</t>
  </si>
  <si>
    <t>Existen instrucciones gráficas en puntos visibles del área de trabajo sobre estándares de uso común (check list,fichas o planes de izado, diagramas de flujo, secuencias de proceso, instrucciones punto a punto,…)</t>
  </si>
  <si>
    <t>Los productos químicos están correctamente identificados, contenido, peligrosidad, riesgos para la salud,…y acompañados de su ficha de datos de seguridad</t>
  </si>
  <si>
    <t>Las señalizaciones de peligro e instrucciones de las máquinas y equipos se conservan de forma que sigan siendo útiles al usuario del equipo</t>
  </si>
  <si>
    <t>Se dispone de instrucciones visuales de cómo actuar en caso de emergencia (incendio, evacuación, derrame, accidente, etc.)</t>
  </si>
  <si>
    <t>INDICADORES         VISUALES</t>
  </si>
  <si>
    <t>INSTRUCCIONES                 VISUALES</t>
  </si>
  <si>
    <t>Existe un panel o documento en lugar visible para el seguimiento de la producción (previsto/real, hitos, o similar)</t>
  </si>
  <si>
    <t>Se realiza un seguimiento visual de acciones correctivas, preventivas y de mejora continua  (gráfico acciones pdca, incidencias de calidad, etc..)</t>
  </si>
  <si>
    <t>2.1</t>
  </si>
  <si>
    <t>2.2</t>
  </si>
  <si>
    <t>2.3</t>
  </si>
  <si>
    <t>2.4</t>
  </si>
  <si>
    <t>3.1</t>
  </si>
  <si>
    <t>3.2</t>
  </si>
  <si>
    <t>3.3</t>
  </si>
  <si>
    <t>3.4</t>
  </si>
  <si>
    <t>3.5</t>
  </si>
  <si>
    <t>AUDITORÍAS</t>
  </si>
  <si>
    <t>ACCIÓN</t>
  </si>
  <si>
    <t>GESTIÓN DE ANOMALÍAS</t>
  </si>
  <si>
    <t xml:space="preserve">Se realizan auditorías semanales 5S </t>
  </si>
  <si>
    <t>Se transforman las anomalías en acciones correctivas o de mejora con el fin de que no se repitan</t>
  </si>
  <si>
    <t>Si están implantadas otras herramientas de inspección o comprobación, estas son utilizadas según el estándar</t>
  </si>
  <si>
    <t>Hay un sistema de declaración de anomalías implantado, entendiendo por "declaración de anomalías" hacerlas visibles, evitar que los problemas queden escondidos.</t>
  </si>
  <si>
    <t xml:space="preserve">Existen instrucciones visuales del funcionamiento del sistema de declaración de anomalías </t>
  </si>
  <si>
    <t>Se gestiona la mejora continua a través del panel PDCA visual de la zona</t>
  </si>
  <si>
    <t>Las acciones de mejora se incluyen en el plan de acción y se realizan acciones semanalmente (mejora continua)</t>
  </si>
  <si>
    <t>Se lleva a cabo un seguimiento por medio de indicadores que miden la continuidad del ciclo PDCA.</t>
  </si>
  <si>
    <t>Se encuentran evidencias de que el sistema de declaración de anomalías es eficaz, las anomalías se registran y se resuelven de forma efectiva, evitando que se repitan</t>
  </si>
  <si>
    <t>Se aplica un sistema con código de colores para la indicación visual del estado de revisión en los equipos y accesorios de elevación?</t>
  </si>
  <si>
    <t>Se mantienen actualizados todos  los indicadores visuales existentes en la zona/proceso. Es una rutina constante la actualización y seguimiento</t>
  </si>
  <si>
    <t>EQUIPOS INFORMATICOS</t>
  </si>
  <si>
    <t xml:space="preserve">ESTANDARIZACIÓN </t>
  </si>
  <si>
    <t xml:space="preserve">OBSERVACIONES  </t>
  </si>
  <si>
    <t>NOK</t>
  </si>
  <si>
    <t>OK</t>
  </si>
  <si>
    <t>TRIMESTRE</t>
  </si>
  <si>
    <r>
      <t xml:space="preserve">Referencia del hallazgo </t>
    </r>
    <r>
      <rPr>
        <sz val="12"/>
        <rFont val="Calibri"/>
        <family val="2"/>
      </rPr>
      <t xml:space="preserve">(anotar desviación) </t>
    </r>
  </si>
  <si>
    <r>
      <rPr>
        <b/>
        <sz val="12"/>
        <rFont val="Calibri"/>
        <family val="2"/>
      </rPr>
      <t>Punto a Mejorar</t>
    </r>
    <r>
      <rPr>
        <sz val="12"/>
        <rFont val="Calibri"/>
        <family val="2"/>
      </rPr>
      <t xml:space="preserve"> (anotar sugerencia)</t>
    </r>
  </si>
  <si>
    <t>APARTADO</t>
  </si>
  <si>
    <t>SUB- APARTADO</t>
  </si>
  <si>
    <t>CORRECTO</t>
  </si>
  <si>
    <t>TOTAL NOK</t>
  </si>
  <si>
    <t>MEJORAS</t>
  </si>
  <si>
    <t xml:space="preserve">A </t>
  </si>
  <si>
    <t>B</t>
  </si>
  <si>
    <t>INCORRECTO</t>
  </si>
  <si>
    <t>Cuando algo falta, ¿todo el mundo sabe lo que falta? Todos puede reconocer donde deben ubicarse.</t>
  </si>
  <si>
    <t>Se respetan los estándares globales en cuanto a marcaje y uso en Suelos</t>
  </si>
  <si>
    <t>Se respetan los estándares globales en cuanto a marcaje y uso en Pasillos</t>
  </si>
  <si>
    <t>Se respetan los estándares globales en cuanto a marcaje y uso en Zonas de trabajo, entrada y salida de materiales</t>
  </si>
  <si>
    <t>Se respetan los estándares globales en cuanto a marcaje y uso en Residuos, zonas de riesgo permanente y de paso no permitido</t>
  </si>
  <si>
    <t>Esta construido según el estandar corporativo el Panel PDCA</t>
  </si>
  <si>
    <t xml:space="preserve">Esta construido según el estandar corporativo elPanel Lay Out Global </t>
  </si>
  <si>
    <t>Otros (Indicar cuál)</t>
  </si>
  <si>
    <t>PUNTUACIÓN</t>
  </si>
  <si>
    <t>AUDIT. T1</t>
  </si>
  <si>
    <t>AUDIT. T2</t>
  </si>
  <si>
    <t>AUDIT. T3</t>
  </si>
  <si>
    <t>RESULTADO</t>
  </si>
  <si>
    <t>AUDIT. T4</t>
  </si>
  <si>
    <t>AUDIT. ANUAL</t>
  </si>
  <si>
    <t xml:space="preserve"> -</t>
  </si>
  <si>
    <t>DATOS</t>
  </si>
  <si>
    <t>RADARES</t>
  </si>
  <si>
    <t>Datos de Evaluación TRIMESTRE 1</t>
  </si>
  <si>
    <t>Datos de Evaluación TRIMESTRE 2</t>
  </si>
  <si>
    <t>Datos de Evaluación TRIMESTRE 3</t>
  </si>
  <si>
    <t>Datos de Evaluación TRIMESTRE 4</t>
  </si>
  <si>
    <t>Datos de Evaluación ANUAL</t>
  </si>
  <si>
    <t>Sobran cajas de elementos de medida (calibre…etc)</t>
  </si>
  <si>
    <t>Definir panel de herramienta</t>
  </si>
  <si>
    <t>Colocar señalización mas alta.</t>
  </si>
  <si>
    <t>Desde algunos puntos no se ve donde estan los extintores</t>
  </si>
  <si>
    <t>Estudiar el poder eliminar la entrada de esos residuos.</t>
  </si>
  <si>
    <t>Hay fuga de aceites en el equipo de lubicación de aire.</t>
  </si>
  <si>
    <t>Hay manchas de aceite debajo de las máquinas que provienen del engrase según proceso</t>
  </si>
  <si>
    <t>Revisar cantidad de aceite aplicado. Si no es suficiente dotar de recipiente de recogida</t>
  </si>
  <si>
    <t>Las sillas del area de trabajo estan dañadas</t>
  </si>
  <si>
    <t>Cambiar/reparar.</t>
  </si>
  <si>
    <t>No se ve el cartel de identificación del área.</t>
  </si>
  <si>
    <t>Cambiar de ubicación.</t>
  </si>
  <si>
    <t>Se sabe quien y cuando pero no QUÉ? Que actividaes conlleva la limpieza.</t>
  </si>
  <si>
    <t>Realizar check-list de limpieza definiendo actividad/frecuencia/responsable</t>
  </si>
  <si>
    <r>
      <t xml:space="preserve">Mejora:
</t>
    </r>
    <r>
      <rPr>
        <b/>
        <sz val="10"/>
        <rFont val="Calibri"/>
        <family val="2"/>
        <scheme val="minor"/>
      </rPr>
      <t>Recuperación de chatarra por tipo de material integrada en proceso.</t>
    </r>
  </si>
  <si>
    <t xml:space="preserve">No hay una separación de carton /plastico en la zona. </t>
  </si>
  <si>
    <t>Pistola soldadura sin identificar. No hay ningún tipo de identificación en maquinas externas a las máquinas.</t>
  </si>
  <si>
    <t>Trazar las máquinas según criterio. De igual manera también marcar fecha mantenimiento.</t>
  </si>
  <si>
    <t>1230756
1230754
1230750
1230749</t>
  </si>
  <si>
    <t>No está totalmente implantado. Pendiente en plan de acción</t>
  </si>
  <si>
    <t>El criterio actual es el de agrupaje para pasar seguidamente a pocayoque con la mejora continua.</t>
  </si>
  <si>
    <t>El material de cajas que lleva un tratamiento de humedecido no se sabe si esta tratado o no. No se sabe que material es.</t>
  </si>
  <si>
    <t>Analizar causa raiz y eliminar</t>
  </si>
  <si>
    <r>
      <t xml:space="preserve">Mejora:
</t>
    </r>
    <r>
      <rPr>
        <b/>
        <sz val="10"/>
        <rFont val="Calibri"/>
        <family val="2"/>
        <scheme val="minor"/>
      </rPr>
      <t>Lectura de código de barras como sistema de fiabilización y trazabilidad de las ordenes de trabajo.</t>
    </r>
  </si>
  <si>
    <t xml:space="preserve">Mejora:
</t>
  </si>
  <si>
    <t>No se realizan simulacros de evacuación ni existe en las areas señalizaciones de salida a utilizar</t>
  </si>
  <si>
    <t>Dotar en el area estandar de evacuación y determinar aplicación o no de simulacro de evacuación.</t>
  </si>
  <si>
    <t>Se recomienda separar los tipos de materiales entre materia prima y en proceso.</t>
  </si>
  <si>
    <t>Hay una inconcluencia con el color verde y azul. El material azul no es conforme?</t>
  </si>
  <si>
    <t>En un primer nivel si</t>
  </si>
  <si>
    <t>Se recomienda seguir con la mejora</t>
  </si>
  <si>
    <t>La s maquinas no tienen información del plan de mantenimiento.</t>
  </si>
  <si>
    <t>Elavorar estandar .</t>
  </si>
  <si>
    <t xml:space="preserve">Hay algunos pero se recomienda seguir </t>
  </si>
  <si>
    <t>Mirar aceite?????</t>
  </si>
  <si>
    <t xml:space="preserve">Otros (Indicar cuál)  </t>
  </si>
  <si>
    <t>Se recomienda unificar el plan de acción de 5S con el de producción diario.</t>
  </si>
  <si>
    <t>No  se tiene evidencias de esto.</t>
  </si>
  <si>
    <t>El estandar está por definir</t>
  </si>
  <si>
    <t>Se da implantada la auditoría semanal que se debe de realizar en la proxima semana.</t>
  </si>
  <si>
    <t>Si en el taller. Se debe continuar con las auditorías.</t>
  </si>
  <si>
    <t>Se entiende que el sistema de auditorías es este sistema. El hecho de acerlas continuará con la mejora.</t>
  </si>
  <si>
    <t>No se ha empezado con el sistema.</t>
  </si>
  <si>
    <t>PDCA</t>
  </si>
  <si>
    <t>Esta implantado se debe serguir.</t>
  </si>
  <si>
    <t>Esta implantado se debe seguir</t>
  </si>
  <si>
    <t>No hay evidencias</t>
  </si>
  <si>
    <t>Se realizan reuniones diarias para seguimiento. No la hemos visto.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</si>
</sst>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0"/>
      <name val="Arial"/>
    </font>
    <font>
      <sz val="10"/>
      <name val="Arial"/>
      <family val="2"/>
    </font>
    <font>
      <sz val="12"/>
      <name val="Calibri"/>
      <family val="2"/>
    </font>
    <font>
      <b/>
      <sz val="12"/>
      <name val="Calibri"/>
      <family val="2"/>
    </font>
    <font>
      <sz val="14"/>
      <name val="Calibri"/>
      <family val="2"/>
    </font>
    <font>
      <b/>
      <sz val="10"/>
      <name val="Calibri"/>
      <family val="2"/>
    </font>
    <font>
      <sz val="10"/>
      <name val="Calibri"/>
      <family val="2"/>
    </font>
    <font>
      <sz val="12"/>
      <name val="Calibri"/>
      <family val="2"/>
      <scheme val="minor"/>
    </font>
    <font>
      <b/>
      <sz val="12"/>
      <name val="Calibri"/>
      <family val="2"/>
      <scheme val="minor"/>
    </font>
    <font>
      <b/>
      <sz val="18"/>
      <name val="Calibri"/>
      <family val="2"/>
      <scheme val="minor"/>
    </font>
    <font>
      <i/>
      <sz val="14"/>
      <name val="Calibri"/>
      <family val="2"/>
      <scheme val="minor"/>
    </font>
    <font>
      <b/>
      <sz val="10"/>
      <name val="Calibri"/>
      <family val="2"/>
      <scheme val="minor"/>
    </font>
    <font>
      <b/>
      <sz val="10"/>
      <color rgb="FFFF0000"/>
      <name val="Calibri"/>
      <family val="2"/>
      <scheme val="minor"/>
    </font>
    <font>
      <sz val="14"/>
      <name val="Calibri"/>
      <family val="2"/>
      <scheme val="minor"/>
    </font>
    <font>
      <sz val="10"/>
      <name val="Calibri"/>
      <family val="2"/>
      <scheme val="minor"/>
    </font>
    <font>
      <sz val="18"/>
      <name val="Calibri"/>
      <family val="2"/>
      <scheme val="minor"/>
    </font>
    <font>
      <b/>
      <sz val="26"/>
      <name val="Calibri"/>
      <family val="2"/>
      <scheme val="minor"/>
    </font>
    <font>
      <b/>
      <sz val="16"/>
      <name val="Calibri"/>
      <family val="2"/>
      <scheme val="minor"/>
    </font>
    <font>
      <b/>
      <sz val="10"/>
      <color theme="1"/>
      <name val="Calibri"/>
      <family val="2"/>
      <scheme val="minor"/>
    </font>
    <font>
      <sz val="24"/>
      <name val="Calibri"/>
      <family val="2"/>
      <scheme val="minor"/>
    </font>
    <font>
      <b/>
      <sz val="36"/>
      <name val="Calibri"/>
      <family val="2"/>
      <scheme val="minor"/>
    </font>
    <font>
      <sz val="8"/>
      <name val="Calibri"/>
      <family val="2"/>
      <scheme val="minor"/>
    </font>
  </fonts>
  <fills count="9">
    <fill>
      <patternFill patternType="none"/>
    </fill>
    <fill>
      <patternFill patternType="gray125"/>
    </fill>
    <fill>
      <patternFill patternType="solid">
        <fgColor indexed="13"/>
        <bgColor indexed="64"/>
      </patternFill>
    </fill>
    <fill>
      <patternFill patternType="solid">
        <fgColor indexed="10"/>
        <bgColor indexed="64"/>
      </patternFill>
    </fill>
    <fill>
      <patternFill patternType="solid">
        <fgColor indexed="11"/>
        <bgColor indexed="64"/>
      </patternFill>
    </fill>
    <fill>
      <patternFill patternType="solid">
        <fgColor rgb="FFFF0000"/>
        <bgColor indexed="64"/>
      </patternFill>
    </fill>
    <fill>
      <patternFill patternType="solid">
        <fgColor theme="0" tint="-0.14999847407452621"/>
        <bgColor indexed="64"/>
      </patternFill>
    </fill>
    <fill>
      <patternFill patternType="solid">
        <fgColor rgb="FF00B050"/>
        <bgColor indexed="64"/>
      </patternFill>
    </fill>
    <fill>
      <patternFill patternType="solid">
        <fgColor theme="0"/>
        <bgColor indexed="64"/>
      </patternFill>
    </fill>
  </fills>
  <borders count="7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bottom/>
      <diagonal/>
    </border>
    <border>
      <left/>
      <right style="medium">
        <color indexed="64"/>
      </right>
      <top style="medium">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top style="double">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diagonal/>
    </border>
    <border>
      <left style="double">
        <color indexed="64"/>
      </left>
      <right style="thin">
        <color indexed="64"/>
      </right>
      <top style="double">
        <color indexed="64"/>
      </top>
      <bottom/>
      <diagonal/>
    </border>
    <border>
      <left/>
      <right style="double">
        <color indexed="64"/>
      </right>
      <top style="double">
        <color indexed="64"/>
      </top>
      <bottom style="thin">
        <color indexed="64"/>
      </bottom>
      <diagonal/>
    </border>
    <border>
      <left style="double">
        <color indexed="64"/>
      </left>
      <right style="thin">
        <color indexed="64"/>
      </right>
      <top/>
      <bottom/>
      <diagonal/>
    </border>
    <border>
      <left/>
      <right style="double">
        <color indexed="64"/>
      </right>
      <top style="thin">
        <color indexed="64"/>
      </top>
      <bottom style="thin">
        <color indexed="64"/>
      </bottom>
      <diagonal/>
    </border>
    <border>
      <left style="double">
        <color indexed="64"/>
      </left>
      <right style="thin">
        <color indexed="64"/>
      </right>
      <top/>
      <bottom style="double">
        <color indexed="64"/>
      </bottom>
      <diagonal/>
    </border>
    <border>
      <left/>
      <right style="double">
        <color indexed="64"/>
      </right>
      <top style="thin">
        <color indexed="64"/>
      </top>
      <bottom style="double">
        <color indexed="64"/>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right/>
      <top style="double">
        <color indexed="64"/>
      </top>
      <bottom/>
      <diagonal/>
    </border>
    <border>
      <left style="thin">
        <color indexed="64"/>
      </left>
      <right style="double">
        <color indexed="64"/>
      </right>
      <top style="thin">
        <color indexed="64"/>
      </top>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double">
        <color indexed="64"/>
      </left>
      <right style="thin">
        <color indexed="64"/>
      </right>
      <top style="thin">
        <color indexed="64"/>
      </top>
      <bottom style="double">
        <color indexed="64"/>
      </bottom>
      <diagonal/>
    </border>
    <border>
      <left/>
      <right style="thin">
        <color indexed="64"/>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style="double">
        <color indexed="64"/>
      </left>
      <right/>
      <top/>
      <bottom style="double">
        <color indexed="64"/>
      </bottom>
      <diagonal/>
    </border>
    <border>
      <left style="double">
        <color indexed="64"/>
      </left>
      <right/>
      <top style="double">
        <color indexed="64"/>
      </top>
      <bottom style="double">
        <color indexed="64"/>
      </bottom>
      <diagonal/>
    </border>
    <border>
      <left/>
      <right style="double">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double">
        <color indexed="64"/>
      </bottom>
      <diagonal/>
    </border>
    <border>
      <left/>
      <right/>
      <top/>
      <bottom style="double">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medium">
        <color indexed="64"/>
      </left>
      <right/>
      <top style="thick">
        <color auto="1"/>
      </top>
      <bottom/>
      <diagonal/>
    </border>
    <border>
      <left style="medium">
        <color indexed="64"/>
      </left>
      <right style="thick">
        <color auto="1"/>
      </right>
      <top style="medium">
        <color indexed="64"/>
      </top>
      <bottom/>
      <diagonal/>
    </border>
    <border>
      <left style="thick">
        <color auto="1"/>
      </left>
      <right style="thin">
        <color indexed="64"/>
      </right>
      <top style="thin">
        <color indexed="64"/>
      </top>
      <bottom style="thin">
        <color indexed="64"/>
      </bottom>
      <diagonal/>
    </border>
    <border>
      <left style="medium">
        <color indexed="64"/>
      </left>
      <right style="thick">
        <color auto="1"/>
      </right>
      <top/>
      <bottom/>
      <diagonal/>
    </border>
    <border>
      <left style="medium">
        <color indexed="64"/>
      </left>
      <right style="thick">
        <color auto="1"/>
      </right>
      <top/>
      <bottom style="medium">
        <color indexed="64"/>
      </bottom>
      <diagonal/>
    </border>
    <border>
      <left style="thick">
        <color auto="1"/>
      </left>
      <right/>
      <top/>
      <bottom style="thick">
        <color auto="1"/>
      </bottom>
      <diagonal/>
    </border>
    <border>
      <left/>
      <right/>
      <top/>
      <bottom style="thick">
        <color auto="1"/>
      </bottom>
      <diagonal/>
    </border>
    <border>
      <left style="medium">
        <color indexed="64"/>
      </left>
      <right/>
      <top/>
      <bottom style="thick">
        <color auto="1"/>
      </bottom>
      <diagonal/>
    </border>
    <border>
      <left/>
      <right style="thick">
        <color auto="1"/>
      </right>
      <top/>
      <bottom style="thick">
        <color auto="1"/>
      </bottom>
      <diagonal/>
    </border>
    <border>
      <left style="thick">
        <color auto="1"/>
      </left>
      <right/>
      <top style="thin">
        <color indexed="64"/>
      </top>
      <bottom style="thin">
        <color indexed="64"/>
      </bottom>
      <diagonal/>
    </border>
    <border>
      <left style="thick">
        <color auto="1"/>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1" fillId="0" borderId="0"/>
  </cellStyleXfs>
  <cellXfs count="287">
    <xf numFmtId="0" fontId="0" fillId="0" borderId="0" xfId="0"/>
    <xf numFmtId="0" fontId="4" fillId="0" borderId="0" xfId="0" applyFont="1"/>
    <xf numFmtId="0" fontId="4" fillId="0" borderId="0" xfId="0" applyFont="1" applyAlignment="1">
      <alignment vertical="center"/>
    </xf>
    <xf numFmtId="0" fontId="4" fillId="0" borderId="19" xfId="0" applyFont="1" applyBorder="1" applyAlignment="1">
      <alignment vertical="center"/>
    </xf>
    <xf numFmtId="0" fontId="4" fillId="0" borderId="20" xfId="0" applyFont="1" applyBorder="1"/>
    <xf numFmtId="0" fontId="4" fillId="0" borderId="21" xfId="0" applyFont="1" applyBorder="1" applyAlignment="1">
      <alignment vertical="center"/>
    </xf>
    <xf numFmtId="0" fontId="4" fillId="0" borderId="16" xfId="0" applyFont="1" applyBorder="1"/>
    <xf numFmtId="0" fontId="4" fillId="0" borderId="22" xfId="0" applyFont="1" applyBorder="1" applyAlignment="1">
      <alignment vertical="center"/>
    </xf>
    <xf numFmtId="0" fontId="4" fillId="0" borderId="16" xfId="0" applyFont="1" applyBorder="1" applyAlignment="1">
      <alignment vertical="center"/>
    </xf>
    <xf numFmtId="0" fontId="4" fillId="0" borderId="20" xfId="0" applyFont="1" applyBorder="1" applyAlignment="1">
      <alignment vertical="center"/>
    </xf>
    <xf numFmtId="0" fontId="4" fillId="0" borderId="12" xfId="0" applyFont="1" applyBorder="1" applyAlignment="1">
      <alignment vertical="center"/>
    </xf>
    <xf numFmtId="0" fontId="4" fillId="0" borderId="17" xfId="0" applyFont="1" applyBorder="1" applyAlignment="1">
      <alignment vertical="center"/>
    </xf>
    <xf numFmtId="0" fontId="4" fillId="0" borderId="16" xfId="0" applyFont="1" applyBorder="1" applyAlignment="1">
      <alignment horizontal="left" vertical="center" wrapText="1"/>
    </xf>
    <xf numFmtId="0" fontId="4" fillId="0" borderId="23" xfId="0" applyFont="1" applyBorder="1" applyAlignment="1">
      <alignment vertical="center"/>
    </xf>
    <xf numFmtId="0" fontId="4" fillId="0" borderId="24" xfId="0" applyFont="1" applyBorder="1" applyAlignment="1">
      <alignment vertical="center"/>
    </xf>
    <xf numFmtId="0" fontId="4" fillId="0" borderId="0" xfId="0" applyFont="1" applyAlignment="1">
      <alignment horizontal="center" vertical="center"/>
    </xf>
    <xf numFmtId="0" fontId="14" fillId="0" borderId="64" xfId="2" applyFont="1" applyBorder="1" applyProtection="1">
      <protection locked="0"/>
    </xf>
    <xf numFmtId="0" fontId="14" fillId="0" borderId="0" xfId="2" applyFont="1" applyProtection="1">
      <protection locked="0"/>
    </xf>
    <xf numFmtId="0" fontId="14" fillId="0" borderId="61" xfId="2" applyFont="1" applyBorder="1" applyProtection="1">
      <protection locked="0"/>
    </xf>
    <xf numFmtId="0" fontId="14" fillId="0" borderId="62" xfId="2" applyFont="1" applyBorder="1" applyProtection="1">
      <protection locked="0"/>
    </xf>
    <xf numFmtId="0" fontId="14" fillId="0" borderId="66" xfId="2" applyFont="1" applyBorder="1" applyProtection="1">
      <protection locked="0"/>
    </xf>
    <xf numFmtId="0" fontId="14" fillId="0" borderId="63" xfId="2" applyFont="1" applyBorder="1" applyProtection="1">
      <protection locked="0"/>
    </xf>
    <xf numFmtId="0" fontId="14" fillId="0" borderId="26" xfId="2" applyFont="1" applyBorder="1" applyProtection="1">
      <protection locked="0"/>
    </xf>
    <xf numFmtId="0" fontId="14" fillId="0" borderId="65" xfId="2" applyFont="1" applyBorder="1" applyProtection="1">
      <protection locked="0"/>
    </xf>
    <xf numFmtId="0" fontId="14" fillId="8" borderId="64" xfId="2" applyFont="1" applyFill="1" applyBorder="1" applyAlignment="1" applyProtection="1">
      <alignment horizontal="center"/>
      <protection locked="0"/>
    </xf>
    <xf numFmtId="0" fontId="14" fillId="2" borderId="4" xfId="2" applyFont="1" applyFill="1" applyBorder="1" applyAlignment="1" applyProtection="1">
      <alignment horizontal="center"/>
      <protection locked="0"/>
    </xf>
    <xf numFmtId="0" fontId="14" fillId="2" borderId="10" xfId="2" applyFont="1" applyFill="1" applyBorder="1" applyAlignment="1" applyProtection="1">
      <alignment horizontal="center"/>
      <protection locked="0"/>
    </xf>
    <xf numFmtId="14" fontId="14" fillId="6" borderId="68" xfId="2" applyNumberFormat="1" applyFont="1" applyFill="1" applyBorder="1" applyAlignment="1" applyProtection="1">
      <alignment horizontal="center" vertical="center"/>
      <protection locked="0"/>
    </xf>
    <xf numFmtId="0" fontId="14" fillId="2" borderId="68" xfId="2" applyFont="1" applyFill="1" applyBorder="1" applyAlignment="1" applyProtection="1">
      <alignment horizontal="center"/>
      <protection locked="0"/>
    </xf>
    <xf numFmtId="14" fontId="14" fillId="3" borderId="68" xfId="2" applyNumberFormat="1" applyFont="1" applyFill="1" applyBorder="1" applyAlignment="1" applyProtection="1">
      <alignment horizontal="center"/>
      <protection locked="0"/>
    </xf>
    <xf numFmtId="0" fontId="14" fillId="3" borderId="4" xfId="2" applyFont="1" applyFill="1" applyBorder="1" applyAlignment="1" applyProtection="1">
      <alignment horizontal="center"/>
      <protection locked="0"/>
    </xf>
    <xf numFmtId="14" fontId="14" fillId="4" borderId="68" xfId="2" applyNumberFormat="1" applyFont="1" applyFill="1" applyBorder="1" applyAlignment="1" applyProtection="1">
      <alignment horizontal="center"/>
      <protection locked="0"/>
    </xf>
    <xf numFmtId="0" fontId="14" fillId="4" borderId="4" xfId="2" applyFont="1" applyFill="1" applyBorder="1" applyAlignment="1" applyProtection="1">
      <alignment horizontal="center"/>
      <protection locked="0"/>
    </xf>
    <xf numFmtId="0" fontId="14" fillId="4" borderId="10" xfId="2" applyFont="1" applyFill="1" applyBorder="1" applyAlignment="1" applyProtection="1">
      <alignment horizontal="center"/>
      <protection locked="0"/>
    </xf>
    <xf numFmtId="0" fontId="14" fillId="0" borderId="71" xfId="2" applyFont="1" applyBorder="1" applyProtection="1">
      <protection locked="0"/>
    </xf>
    <xf numFmtId="0" fontId="14" fillId="0" borderId="72" xfId="2" applyFont="1" applyBorder="1" applyProtection="1">
      <protection locked="0"/>
    </xf>
    <xf numFmtId="0" fontId="14" fillId="0" borderId="73" xfId="2" applyFont="1" applyBorder="1" applyProtection="1">
      <protection locked="0"/>
    </xf>
    <xf numFmtId="0" fontId="14" fillId="0" borderId="74" xfId="2" applyFont="1" applyBorder="1" applyProtection="1">
      <protection locked="0"/>
    </xf>
    <xf numFmtId="0" fontId="14" fillId="8" borderId="0" xfId="2" applyFont="1" applyFill="1" applyAlignment="1" applyProtection="1">
      <alignment horizontal="center"/>
      <protection locked="0"/>
    </xf>
    <xf numFmtId="14" fontId="14" fillId="6" borderId="4" xfId="2" applyNumberFormat="1" applyFont="1" applyFill="1" applyBorder="1" applyAlignment="1" applyProtection="1">
      <alignment horizontal="center" vertical="center"/>
      <protection locked="0"/>
    </xf>
    <xf numFmtId="14" fontId="14" fillId="3" borderId="4" xfId="2" applyNumberFormat="1" applyFont="1" applyFill="1" applyBorder="1" applyAlignment="1" applyProtection="1">
      <alignment horizontal="center"/>
      <protection locked="0"/>
    </xf>
    <xf numFmtId="14" fontId="14" fillId="4" borderId="4" xfId="2" applyNumberFormat="1" applyFont="1" applyFill="1" applyBorder="1" applyAlignment="1" applyProtection="1">
      <alignment horizontal="center"/>
      <protection locked="0"/>
    </xf>
    <xf numFmtId="0" fontId="8" fillId="0" borderId="0" xfId="2" applyFont="1" applyProtection="1">
      <protection locked="0"/>
    </xf>
    <xf numFmtId="0" fontId="14" fillId="0" borderId="0" xfId="2" applyFont="1" applyAlignment="1" applyProtection="1">
      <alignment horizontal="center"/>
      <protection locked="0"/>
    </xf>
    <xf numFmtId="0" fontId="14" fillId="2" borderId="76" xfId="2" applyFont="1" applyFill="1" applyBorder="1" applyAlignment="1" applyProtection="1">
      <alignment horizontal="center"/>
      <protection locked="0"/>
    </xf>
    <xf numFmtId="0" fontId="14" fillId="4" borderId="9" xfId="2" applyFont="1" applyFill="1" applyBorder="1" applyAlignment="1" applyProtection="1">
      <alignment horizontal="center"/>
      <protection locked="0"/>
    </xf>
    <xf numFmtId="14" fontId="14" fillId="0" borderId="68" xfId="2" applyNumberFormat="1" applyFont="1" applyBorder="1" applyAlignment="1" applyProtection="1">
      <alignment horizontal="center"/>
      <protection locked="0"/>
    </xf>
    <xf numFmtId="49" fontId="7" fillId="0" borderId="1" xfId="0" applyNumberFormat="1" applyFont="1" applyBorder="1" applyProtection="1">
      <protection locked="0"/>
    </xf>
    <xf numFmtId="0" fontId="7" fillId="0" borderId="2" xfId="0" applyFont="1" applyBorder="1" applyProtection="1">
      <protection locked="0"/>
    </xf>
    <xf numFmtId="0" fontId="7" fillId="0" borderId="0" xfId="0" applyFont="1" applyProtection="1">
      <protection locked="0"/>
    </xf>
    <xf numFmtId="0" fontId="7" fillId="0" borderId="0" xfId="0" applyFont="1" applyAlignment="1" applyProtection="1">
      <alignment horizontal="center"/>
      <protection locked="0"/>
    </xf>
    <xf numFmtId="0" fontId="7" fillId="0" borderId="0" xfId="0" applyFont="1" applyAlignment="1" applyProtection="1">
      <alignment horizontal="center" vertical="center"/>
      <protection locked="0"/>
    </xf>
    <xf numFmtId="49" fontId="7" fillId="0" borderId="0" xfId="0" applyNumberFormat="1" applyFont="1" applyProtection="1">
      <protection locked="0"/>
    </xf>
    <xf numFmtId="0" fontId="8" fillId="7" borderId="4" xfId="0" applyFont="1" applyFill="1" applyBorder="1" applyAlignment="1" applyProtection="1">
      <alignment horizontal="center"/>
      <protection locked="0"/>
    </xf>
    <xf numFmtId="0" fontId="8" fillId="5" borderId="4" xfId="0" applyFont="1" applyFill="1" applyBorder="1" applyAlignment="1" applyProtection="1">
      <alignment horizontal="center"/>
      <protection locked="0"/>
    </xf>
    <xf numFmtId="0" fontId="8" fillId="0" borderId="0" xfId="0" applyFont="1" applyProtection="1">
      <protection locked="0"/>
    </xf>
    <xf numFmtId="0" fontId="9" fillId="0" borderId="0" xfId="0" applyFont="1" applyProtection="1">
      <protection locked="0"/>
    </xf>
    <xf numFmtId="0" fontId="8" fillId="0" borderId="0" xfId="0" applyFont="1" applyAlignment="1" applyProtection="1">
      <alignment horizontal="center"/>
      <protection locked="0"/>
    </xf>
    <xf numFmtId="0" fontId="10" fillId="0" borderId="0" xfId="0" applyFont="1" applyProtection="1">
      <protection locked="0"/>
    </xf>
    <xf numFmtId="0" fontId="8" fillId="0" borderId="0" xfId="0" applyFont="1" applyAlignment="1" applyProtection="1">
      <alignment horizontal="center" vertical="center"/>
      <protection locked="0"/>
    </xf>
    <xf numFmtId="49" fontId="16" fillId="0" borderId="0" xfId="0" applyNumberFormat="1" applyFont="1" applyAlignment="1" applyProtection="1">
      <alignment horizontal="center" vertical="center"/>
      <protection locked="0"/>
    </xf>
    <xf numFmtId="14" fontId="8" fillId="0" borderId="14" xfId="0" applyNumberFormat="1" applyFont="1" applyBorder="1" applyAlignment="1" applyProtection="1">
      <alignment horizontal="center" vertical="center" wrapText="1"/>
      <protection locked="0"/>
    </xf>
    <xf numFmtId="0" fontId="8" fillId="0" borderId="59" xfId="0" applyFont="1" applyBorder="1" applyAlignment="1" applyProtection="1">
      <alignment wrapText="1"/>
      <protection locked="0"/>
    </xf>
    <xf numFmtId="0" fontId="8" fillId="0" borderId="60" xfId="0" applyFont="1" applyBorder="1" applyAlignment="1" applyProtection="1">
      <alignment wrapText="1"/>
      <protection locked="0"/>
    </xf>
    <xf numFmtId="0" fontId="18" fillId="0" borderId="8" xfId="0" applyFont="1" applyBorder="1" applyAlignment="1" applyProtection="1">
      <alignment horizontal="center" vertical="center"/>
      <protection locked="0"/>
    </xf>
    <xf numFmtId="0" fontId="7" fillId="0" borderId="8" xfId="0" applyFont="1" applyBorder="1" applyAlignment="1" applyProtection="1">
      <alignment vertical="top" wrapText="1"/>
      <protection locked="0"/>
    </xf>
    <xf numFmtId="0" fontId="7" fillId="0" borderId="0" xfId="0" applyFont="1" applyAlignment="1" applyProtection="1">
      <alignment vertical="top"/>
      <protection locked="0"/>
    </xf>
    <xf numFmtId="0" fontId="18" fillId="0" borderId="4" xfId="0" applyFont="1" applyBorder="1" applyAlignment="1" applyProtection="1">
      <alignment horizontal="center" vertical="center"/>
      <protection locked="0"/>
    </xf>
    <xf numFmtId="0" fontId="7" fillId="0" borderId="4" xfId="0" applyFont="1" applyBorder="1" applyAlignment="1" applyProtection="1">
      <alignment vertical="top" wrapText="1"/>
      <protection locked="0"/>
    </xf>
    <xf numFmtId="0" fontId="18" fillId="0" borderId="7" xfId="0" applyFont="1" applyBorder="1" applyAlignment="1" applyProtection="1">
      <alignment horizontal="center" vertical="center"/>
      <protection locked="0"/>
    </xf>
    <xf numFmtId="0" fontId="7" fillId="0" borderId="7" xfId="0" applyFont="1" applyBorder="1" applyAlignment="1" applyProtection="1">
      <alignment vertical="top" wrapText="1"/>
      <protection locked="0"/>
    </xf>
    <xf numFmtId="0" fontId="17" fillId="0" borderId="0" xfId="0" applyFont="1" applyAlignment="1" applyProtection="1">
      <alignment vertical="center" wrapText="1"/>
      <protection locked="0"/>
    </xf>
    <xf numFmtId="49" fontId="7" fillId="0" borderId="8" xfId="0" applyNumberFormat="1" applyFont="1" applyBorder="1" applyAlignment="1" applyProtection="1">
      <alignment horizontal="center" vertical="center"/>
      <protection locked="0"/>
    </xf>
    <xf numFmtId="0" fontId="7" fillId="0" borderId="7" xfId="0" applyFont="1" applyBorder="1" applyAlignment="1" applyProtection="1">
      <alignment horizontal="center" vertical="top"/>
      <protection locked="0"/>
    </xf>
    <xf numFmtId="49" fontId="7" fillId="0" borderId="38" xfId="0" applyNumberFormat="1" applyFont="1" applyBorder="1" applyAlignment="1" applyProtection="1">
      <alignment horizontal="center" vertical="center"/>
      <protection locked="0"/>
    </xf>
    <xf numFmtId="49" fontId="7" fillId="0" borderId="51" xfId="0" applyNumberFormat="1" applyFont="1" applyBorder="1" applyAlignment="1" applyProtection="1">
      <alignment horizontal="center" vertical="center"/>
      <protection locked="0"/>
    </xf>
    <xf numFmtId="0" fontId="13" fillId="0" borderId="51" xfId="0" applyFont="1" applyBorder="1" applyAlignment="1" applyProtection="1">
      <alignment horizontal="center" vertical="center"/>
      <protection locked="0"/>
    </xf>
    <xf numFmtId="0" fontId="13" fillId="0" borderId="52" xfId="0" applyFont="1" applyBorder="1" applyAlignment="1" applyProtection="1">
      <alignment horizontal="center" vertical="center"/>
      <protection locked="0"/>
    </xf>
    <xf numFmtId="49" fontId="7" fillId="8" borderId="56" xfId="0" applyNumberFormat="1" applyFont="1" applyFill="1" applyBorder="1" applyAlignment="1" applyProtection="1">
      <alignment vertical="top"/>
      <protection locked="0"/>
    </xf>
    <xf numFmtId="49" fontId="7" fillId="6" borderId="55" xfId="0" applyNumberFormat="1" applyFont="1" applyFill="1" applyBorder="1" applyAlignment="1" applyProtection="1">
      <alignment horizontal="right" vertical="center"/>
      <protection locked="0"/>
    </xf>
    <xf numFmtId="0" fontId="8" fillId="0" borderId="31" xfId="0" applyFont="1" applyBorder="1" applyAlignment="1">
      <alignment horizontal="center" vertical="center"/>
    </xf>
    <xf numFmtId="0" fontId="8" fillId="0" borderId="40" xfId="0" applyFont="1" applyBorder="1" applyAlignment="1">
      <alignment horizontal="center" vertical="center"/>
    </xf>
    <xf numFmtId="0" fontId="7" fillId="0" borderId="7" xfId="0" applyFont="1" applyBorder="1" applyAlignment="1">
      <alignment horizontal="center" vertical="center"/>
    </xf>
    <xf numFmtId="0" fontId="7" fillId="0" borderId="42" xfId="0" applyFont="1" applyBorder="1" applyAlignment="1">
      <alignment horizontal="center" vertical="center"/>
    </xf>
    <xf numFmtId="2" fontId="8" fillId="6" borderId="48" xfId="1" applyNumberFormat="1" applyFont="1" applyFill="1" applyBorder="1" applyAlignment="1" applyProtection="1">
      <alignment horizontal="center" vertical="center"/>
    </xf>
    <xf numFmtId="2" fontId="8" fillId="6" borderId="49" xfId="1" applyNumberFormat="1" applyFont="1" applyFill="1" applyBorder="1" applyAlignment="1" applyProtection="1">
      <alignment horizontal="center" vertical="center"/>
    </xf>
    <xf numFmtId="0" fontId="11" fillId="0" borderId="8" xfId="0" applyFont="1" applyBorder="1" applyAlignment="1" applyProtection="1">
      <alignment horizontal="center" vertical="center"/>
      <protection locked="0"/>
    </xf>
    <xf numFmtId="0" fontId="11" fillId="0" borderId="4" xfId="0" applyFont="1" applyBorder="1" applyAlignment="1" applyProtection="1">
      <alignment horizontal="center" vertical="center"/>
      <protection locked="0"/>
    </xf>
    <xf numFmtId="0" fontId="11" fillId="0" borderId="7" xfId="0" applyFont="1" applyBorder="1" applyAlignment="1" applyProtection="1">
      <alignment horizontal="center" vertical="center"/>
      <protection locked="0"/>
    </xf>
    <xf numFmtId="0" fontId="12" fillId="0" borderId="7" xfId="0" applyFont="1" applyBorder="1" applyAlignment="1" applyProtection="1">
      <alignment horizontal="center" vertical="center"/>
      <protection locked="0"/>
    </xf>
    <xf numFmtId="0" fontId="12" fillId="0" borderId="8" xfId="0" applyFont="1" applyBorder="1" applyAlignment="1" applyProtection="1">
      <alignment horizontal="center" vertical="center"/>
      <protection locked="0"/>
    </xf>
    <xf numFmtId="0" fontId="12" fillId="0" borderId="4" xfId="0" applyFont="1" applyBorder="1" applyAlignment="1" applyProtection="1">
      <alignment horizontal="center" vertical="center"/>
      <protection locked="0"/>
    </xf>
    <xf numFmtId="49" fontId="7" fillId="0" borderId="46" xfId="0" applyNumberFormat="1" applyFont="1" applyBorder="1" applyAlignment="1" applyProtection="1">
      <alignment vertical="center"/>
      <protection locked="0"/>
    </xf>
    <xf numFmtId="0" fontId="7" fillId="0" borderId="46" xfId="0" applyFont="1" applyBorder="1" applyAlignment="1" applyProtection="1">
      <alignment vertical="center" textRotation="90" wrapText="1"/>
      <protection locked="0"/>
    </xf>
    <xf numFmtId="0" fontId="11" fillId="0" borderId="46" xfId="0" applyFont="1" applyBorder="1" applyAlignment="1" applyProtection="1">
      <alignment horizontal="center" vertical="center"/>
      <protection locked="0"/>
    </xf>
    <xf numFmtId="49" fontId="7" fillId="0" borderId="0" xfId="0" applyNumberFormat="1" applyFont="1" applyAlignment="1" applyProtection="1">
      <alignment vertical="center"/>
      <protection locked="0"/>
    </xf>
    <xf numFmtId="0" fontId="7" fillId="0" borderId="0" xfId="0" applyFont="1" applyAlignment="1" applyProtection="1">
      <alignment vertical="center" textRotation="90" wrapText="1"/>
      <protection locked="0"/>
    </xf>
    <xf numFmtId="0" fontId="11" fillId="0" borderId="0" xfId="0" applyFont="1" applyAlignment="1" applyProtection="1">
      <alignment horizontal="center" vertical="center"/>
      <protection locked="0"/>
    </xf>
    <xf numFmtId="0" fontId="8" fillId="0" borderId="35" xfId="0" applyFont="1" applyBorder="1" applyAlignment="1">
      <alignment horizontal="center" vertical="center"/>
    </xf>
    <xf numFmtId="0" fontId="15" fillId="0" borderId="8" xfId="0" applyFont="1" applyBorder="1" applyAlignment="1" applyProtection="1">
      <alignment vertical="top" wrapText="1"/>
      <protection locked="0"/>
    </xf>
    <xf numFmtId="0" fontId="15" fillId="0" borderId="4" xfId="0" applyFont="1" applyBorder="1" applyAlignment="1" applyProtection="1">
      <alignment vertical="top" wrapText="1"/>
      <protection locked="0"/>
    </xf>
    <xf numFmtId="0" fontId="14" fillId="0" borderId="4" xfId="0" applyFont="1" applyBorder="1" applyAlignment="1" applyProtection="1">
      <alignment vertical="top" wrapText="1"/>
      <protection locked="0"/>
    </xf>
    <xf numFmtId="0" fontId="14" fillId="0" borderId="7" xfId="0" applyFont="1" applyBorder="1" applyAlignment="1" applyProtection="1">
      <alignment vertical="top" wrapText="1"/>
      <protection locked="0"/>
    </xf>
    <xf numFmtId="0" fontId="14" fillId="0" borderId="8" xfId="0" applyFont="1" applyBorder="1" applyAlignment="1" applyProtection="1">
      <alignment vertical="top" wrapText="1"/>
      <protection locked="0"/>
    </xf>
    <xf numFmtId="49" fontId="7" fillId="0" borderId="46" xfId="0" applyNumberFormat="1" applyFont="1" applyBorder="1" applyAlignment="1" applyProtection="1">
      <alignment horizontal="center" vertical="center"/>
      <protection locked="0"/>
    </xf>
    <xf numFmtId="0" fontId="7" fillId="0" borderId="46" xfId="0" applyFont="1" applyBorder="1" applyAlignment="1" applyProtection="1">
      <alignment horizontal="center" vertical="center" textRotation="90" wrapText="1"/>
      <protection locked="0"/>
    </xf>
    <xf numFmtId="0" fontId="7" fillId="0" borderId="46" xfId="0" applyFont="1" applyBorder="1" applyAlignment="1" applyProtection="1">
      <alignment horizontal="left" vertical="top" wrapText="1"/>
      <protection locked="0"/>
    </xf>
    <xf numFmtId="0" fontId="14" fillId="0" borderId="46" xfId="0" applyFont="1" applyBorder="1" applyAlignment="1" applyProtection="1">
      <alignment horizontal="center" vertical="top" wrapText="1"/>
      <protection locked="0"/>
    </xf>
    <xf numFmtId="0" fontId="18" fillId="0" borderId="14" xfId="0" applyFont="1" applyBorder="1" applyAlignment="1" applyProtection="1">
      <alignment horizontal="center" vertical="center"/>
      <protection locked="0"/>
    </xf>
    <xf numFmtId="0" fontId="15" fillId="0" borderId="14" xfId="0" applyFont="1" applyBorder="1" applyAlignment="1" applyProtection="1">
      <alignment vertical="top" wrapText="1"/>
      <protection locked="0"/>
    </xf>
    <xf numFmtId="0" fontId="15" fillId="0" borderId="7" xfId="0" applyFont="1" applyBorder="1" applyAlignment="1" applyProtection="1">
      <alignment vertical="top" wrapText="1"/>
      <protection locked="0"/>
    </xf>
    <xf numFmtId="0" fontId="15" fillId="0" borderId="46" xfId="0" applyFont="1" applyBorder="1" applyAlignment="1" applyProtection="1">
      <alignment horizontal="center" vertical="top" wrapText="1"/>
      <protection locked="0"/>
    </xf>
    <xf numFmtId="0" fontId="12" fillId="0" borderId="46" xfId="0" applyFont="1" applyBorder="1" applyAlignment="1" applyProtection="1">
      <alignment horizontal="center" vertical="center"/>
      <protection locked="0"/>
    </xf>
    <xf numFmtId="0" fontId="12" fillId="0" borderId="0" xfId="0" applyFont="1" applyAlignment="1" applyProtection="1">
      <alignment horizontal="center" vertical="center"/>
      <protection locked="0"/>
    </xf>
    <xf numFmtId="0" fontId="7" fillId="0" borderId="0" xfId="0" applyFont="1" applyAlignment="1" applyProtection="1">
      <alignment horizontal="center" vertical="top" wrapText="1"/>
      <protection locked="0"/>
    </xf>
    <xf numFmtId="0" fontId="15" fillId="0" borderId="0" xfId="0" applyFont="1" applyAlignment="1" applyProtection="1">
      <alignment horizontal="center" vertical="top" wrapText="1"/>
      <protection locked="0"/>
    </xf>
    <xf numFmtId="164" fontId="14" fillId="6" borderId="4" xfId="2" applyNumberFormat="1" applyFont="1" applyFill="1" applyBorder="1" applyAlignment="1">
      <alignment horizontal="center"/>
    </xf>
    <xf numFmtId="164" fontId="14" fillId="6" borderId="10" xfId="2" applyNumberFormat="1" applyFont="1" applyFill="1" applyBorder="1" applyAlignment="1">
      <alignment horizontal="center"/>
    </xf>
    <xf numFmtId="0" fontId="14" fillId="2" borderId="10" xfId="2" applyFont="1" applyFill="1" applyBorder="1" applyAlignment="1">
      <alignment horizontal="center"/>
    </xf>
    <xf numFmtId="0" fontId="14" fillId="3" borderId="10" xfId="2" applyFont="1" applyFill="1" applyBorder="1" applyAlignment="1">
      <alignment horizontal="center"/>
    </xf>
    <xf numFmtId="1" fontId="14" fillId="0" borderId="4" xfId="2" applyNumberFormat="1" applyFont="1" applyBorder="1" applyAlignment="1">
      <alignment horizontal="center"/>
    </xf>
    <xf numFmtId="0" fontId="14" fillId="4" borderId="4" xfId="2" applyFont="1" applyFill="1" applyBorder="1" applyAlignment="1">
      <alignment horizontal="center"/>
    </xf>
    <xf numFmtId="0" fontId="14" fillId="2" borderId="4" xfId="2" applyFont="1" applyFill="1" applyBorder="1" applyAlignment="1">
      <alignment horizontal="center"/>
    </xf>
    <xf numFmtId="0" fontId="14" fillId="3" borderId="4" xfId="2" applyFont="1" applyFill="1" applyBorder="1" applyAlignment="1">
      <alignment horizontal="center"/>
    </xf>
    <xf numFmtId="0" fontId="21" fillId="0" borderId="8" xfId="0" applyFont="1" applyBorder="1" applyAlignment="1" applyProtection="1">
      <alignment vertical="top" wrapText="1"/>
      <protection locked="0"/>
    </xf>
    <xf numFmtId="0" fontId="21" fillId="0" borderId="4" xfId="0" applyFont="1" applyBorder="1" applyAlignment="1" applyProtection="1">
      <alignment vertical="top" wrapText="1"/>
      <protection locked="0"/>
    </xf>
    <xf numFmtId="0" fontId="21" fillId="0" borderId="7" xfId="0" applyFont="1" applyBorder="1" applyAlignment="1" applyProtection="1">
      <alignment vertical="top" wrapText="1"/>
      <protection locked="0"/>
    </xf>
    <xf numFmtId="1" fontId="21" fillId="0" borderId="4" xfId="0" applyNumberFormat="1" applyFont="1" applyBorder="1" applyAlignment="1" applyProtection="1">
      <alignment vertical="top" wrapText="1"/>
      <protection locked="0"/>
    </xf>
    <xf numFmtId="0" fontId="17" fillId="0" borderId="4" xfId="0" applyFont="1" applyBorder="1" applyAlignment="1" applyProtection="1">
      <alignment horizontal="left" vertical="top" wrapText="1"/>
      <protection locked="0"/>
    </xf>
    <xf numFmtId="0" fontId="3" fillId="0" borderId="1" xfId="0" applyFont="1" applyBorder="1" applyAlignment="1" applyProtection="1">
      <alignment horizontal="center" wrapText="1"/>
      <protection locked="0"/>
    </xf>
    <xf numFmtId="0" fontId="3" fillId="0" borderId="2" xfId="0" applyFont="1" applyBorder="1" applyAlignment="1" applyProtection="1">
      <alignment horizontal="center" wrapText="1"/>
      <protection locked="0"/>
    </xf>
    <xf numFmtId="0" fontId="3" fillId="0" borderId="3" xfId="0" applyFont="1" applyBorder="1" applyAlignment="1" applyProtection="1">
      <alignment horizontal="center" wrapText="1"/>
      <protection locked="0"/>
    </xf>
    <xf numFmtId="0" fontId="8" fillId="0" borderId="60" xfId="0" applyFont="1" applyBorder="1" applyAlignment="1" applyProtection="1">
      <alignment horizontal="center" wrapText="1"/>
      <protection locked="0"/>
    </xf>
    <xf numFmtId="0" fontId="8" fillId="0" borderId="51" xfId="0" applyFont="1" applyBorder="1" applyAlignment="1" applyProtection="1">
      <alignment horizontal="center" wrapText="1"/>
      <protection locked="0"/>
    </xf>
    <xf numFmtId="0" fontId="3" fillId="0" borderId="59" xfId="0" applyFont="1" applyBorder="1" applyAlignment="1" applyProtection="1">
      <alignment horizontal="center" wrapText="1"/>
      <protection locked="0"/>
    </xf>
    <xf numFmtId="0" fontId="3" fillId="0" borderId="60" xfId="0" applyFont="1" applyBorder="1" applyAlignment="1" applyProtection="1">
      <alignment horizontal="center" wrapText="1"/>
      <protection locked="0"/>
    </xf>
    <xf numFmtId="0" fontId="3" fillId="0" borderId="51" xfId="0" applyFont="1" applyBorder="1" applyAlignment="1" applyProtection="1">
      <alignment horizontal="center" wrapText="1"/>
      <protection locked="0"/>
    </xf>
    <xf numFmtId="0" fontId="14" fillId="0" borderId="10" xfId="0" applyFont="1" applyBorder="1" applyAlignment="1" applyProtection="1">
      <alignment horizontal="center" vertical="top" wrapText="1"/>
      <protection locked="0"/>
    </xf>
    <xf numFmtId="0" fontId="14" fillId="0" borderId="5" xfId="0" applyFont="1" applyBorder="1" applyAlignment="1" applyProtection="1">
      <alignment horizontal="center" vertical="top" wrapText="1"/>
      <protection locked="0"/>
    </xf>
    <xf numFmtId="0" fontId="14" fillId="0" borderId="6" xfId="0" applyFont="1" applyBorder="1" applyAlignment="1" applyProtection="1">
      <alignment horizontal="center" vertical="top" wrapText="1"/>
      <protection locked="0"/>
    </xf>
    <xf numFmtId="0" fontId="14" fillId="0" borderId="4" xfId="0" applyFont="1" applyBorder="1" applyAlignment="1" applyProtection="1">
      <alignment horizontal="center" vertical="top" wrapText="1"/>
      <protection locked="0"/>
    </xf>
    <xf numFmtId="0" fontId="14" fillId="0" borderId="41" xfId="0" applyFont="1" applyBorder="1" applyAlignment="1" applyProtection="1">
      <alignment horizontal="center" vertical="top" wrapText="1"/>
      <protection locked="0"/>
    </xf>
    <xf numFmtId="0" fontId="14" fillId="0" borderId="7" xfId="0" applyFont="1" applyBorder="1" applyAlignment="1" applyProtection="1">
      <alignment horizontal="center" vertical="top" wrapText="1"/>
      <protection locked="0"/>
    </xf>
    <xf numFmtId="0" fontId="14" fillId="0" borderId="42" xfId="0" applyFont="1" applyBorder="1" applyAlignment="1" applyProtection="1">
      <alignment horizontal="center" vertical="top" wrapText="1"/>
      <protection locked="0"/>
    </xf>
    <xf numFmtId="0" fontId="7" fillId="0" borderId="4" xfId="0" applyFont="1" applyBorder="1" applyAlignment="1" applyProtection="1">
      <alignment horizontal="left" vertical="top" wrapText="1"/>
      <protection locked="0"/>
    </xf>
    <xf numFmtId="0" fontId="14" fillId="0" borderId="27" xfId="0" applyFont="1" applyBorder="1" applyAlignment="1" applyProtection="1">
      <alignment horizontal="center" vertical="top" wrapText="1"/>
      <protection locked="0"/>
    </xf>
    <xf numFmtId="0" fontId="14" fillId="0" borderId="28" xfId="0" applyFont="1" applyBorder="1" applyAlignment="1" applyProtection="1">
      <alignment horizontal="center" vertical="top" wrapText="1"/>
      <protection locked="0"/>
    </xf>
    <xf numFmtId="0" fontId="14" fillId="0" borderId="29" xfId="0" applyFont="1" applyBorder="1" applyAlignment="1" applyProtection="1">
      <alignment horizontal="center" vertical="top" wrapText="1"/>
      <protection locked="0"/>
    </xf>
    <xf numFmtId="0" fontId="14" fillId="0" borderId="14" xfId="0" applyFont="1" applyBorder="1" applyAlignment="1" applyProtection="1">
      <alignment horizontal="center" vertical="top" wrapText="1"/>
      <protection locked="0"/>
    </xf>
    <xf numFmtId="0" fontId="14" fillId="0" borderId="47" xfId="0" applyFont="1" applyBorder="1" applyAlignment="1" applyProtection="1">
      <alignment horizontal="center" vertical="top" wrapText="1"/>
      <protection locked="0"/>
    </xf>
    <xf numFmtId="0" fontId="7" fillId="0" borderId="8" xfId="0" applyFont="1" applyBorder="1" applyAlignment="1" applyProtection="1">
      <alignment horizontal="left" vertical="top" wrapText="1"/>
      <protection locked="0"/>
    </xf>
    <xf numFmtId="0" fontId="14" fillId="0" borderId="8" xfId="0" applyFont="1" applyBorder="1" applyAlignment="1" applyProtection="1">
      <alignment horizontal="center" vertical="top" wrapText="1"/>
      <protection locked="0"/>
    </xf>
    <xf numFmtId="0" fontId="14" fillId="0" borderId="40" xfId="0" applyFont="1" applyBorder="1" applyAlignment="1" applyProtection="1">
      <alignment horizontal="center" vertical="top" wrapText="1"/>
      <protection locked="0"/>
    </xf>
    <xf numFmtId="0" fontId="14" fillId="0" borderId="18" xfId="0" applyFont="1" applyBorder="1" applyAlignment="1" applyProtection="1">
      <alignment horizontal="center" vertical="top" wrapText="1"/>
      <protection locked="0"/>
    </xf>
    <xf numFmtId="0" fontId="14" fillId="0" borderId="30" xfId="0" applyFont="1" applyBorder="1" applyAlignment="1" applyProtection="1">
      <alignment horizontal="center" vertical="top" wrapText="1"/>
      <protection locked="0"/>
    </xf>
    <xf numFmtId="0" fontId="14" fillId="0" borderId="31" xfId="0" applyFont="1" applyBorder="1" applyAlignment="1" applyProtection="1">
      <alignment horizontal="center" vertical="top" wrapText="1"/>
      <protection locked="0"/>
    </xf>
    <xf numFmtId="0" fontId="8" fillId="0" borderId="10"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8" fillId="0" borderId="6" xfId="0" applyFont="1" applyBorder="1" applyAlignment="1" applyProtection="1">
      <alignment horizontal="center" vertical="center"/>
      <protection locked="0"/>
    </xf>
    <xf numFmtId="0" fontId="8" fillId="0" borderId="1" xfId="0" applyFont="1" applyBorder="1" applyAlignment="1" applyProtection="1">
      <alignment horizontal="center" vertical="top"/>
      <protection locked="0"/>
    </xf>
    <xf numFmtId="0" fontId="8" fillId="0" borderId="2" xfId="0" applyFont="1" applyBorder="1" applyAlignment="1" applyProtection="1">
      <alignment horizontal="center" vertical="top"/>
      <protection locked="0"/>
    </xf>
    <xf numFmtId="0" fontId="8" fillId="0" borderId="3" xfId="0" applyFont="1" applyBorder="1" applyAlignment="1" applyProtection="1">
      <alignment horizontal="center" vertical="top"/>
      <protection locked="0"/>
    </xf>
    <xf numFmtId="0" fontId="8" fillId="0" borderId="59" xfId="0" applyFont="1" applyBorder="1" applyAlignment="1" applyProtection="1">
      <alignment horizontal="center" vertical="top"/>
      <protection locked="0"/>
    </xf>
    <xf numFmtId="0" fontId="8" fillId="0" borderId="60" xfId="0" applyFont="1" applyBorder="1" applyAlignment="1" applyProtection="1">
      <alignment horizontal="center" vertical="top"/>
      <protection locked="0"/>
    </xf>
    <xf numFmtId="0" fontId="8" fillId="0" borderId="51" xfId="0" applyFont="1" applyBorder="1" applyAlignment="1" applyProtection="1">
      <alignment horizontal="center" vertical="top"/>
      <protection locked="0"/>
    </xf>
    <xf numFmtId="0" fontId="8" fillId="0" borderId="1" xfId="0" applyFont="1" applyBorder="1" applyAlignment="1" applyProtection="1">
      <alignment horizontal="center" wrapText="1"/>
      <protection locked="0"/>
    </xf>
    <xf numFmtId="0" fontId="8" fillId="0" borderId="2" xfId="0" applyFont="1" applyBorder="1" applyAlignment="1" applyProtection="1">
      <alignment horizontal="center" wrapText="1"/>
      <protection locked="0"/>
    </xf>
    <xf numFmtId="0" fontId="8" fillId="0" borderId="3" xfId="0" applyFont="1" applyBorder="1" applyAlignment="1" applyProtection="1">
      <alignment horizontal="center" wrapText="1"/>
      <protection locked="0"/>
    </xf>
    <xf numFmtId="49" fontId="7" fillId="0" borderId="43" xfId="0" applyNumberFormat="1" applyFont="1" applyBorder="1" applyAlignment="1" applyProtection="1">
      <alignment horizontal="center" vertical="center"/>
      <protection locked="0"/>
    </xf>
    <xf numFmtId="49" fontId="7" fillId="0" borderId="44" xfId="0" applyNumberFormat="1" applyFont="1" applyBorder="1" applyAlignment="1" applyProtection="1">
      <alignment horizontal="center" vertical="center"/>
      <protection locked="0"/>
    </xf>
    <xf numFmtId="49" fontId="7" fillId="0" borderId="45" xfId="0" applyNumberFormat="1" applyFont="1" applyBorder="1" applyAlignment="1" applyProtection="1">
      <alignment horizontal="center" vertical="center"/>
      <protection locked="0"/>
    </xf>
    <xf numFmtId="0" fontId="7" fillId="0" borderId="8" xfId="0" applyFont="1" applyBorder="1" applyAlignment="1" applyProtection="1">
      <alignment horizontal="center" vertical="center" textRotation="90" wrapText="1"/>
      <protection locked="0"/>
    </xf>
    <xf numFmtId="0" fontId="7" fillId="0" borderId="4" xfId="0" applyFont="1" applyBorder="1" applyAlignment="1" applyProtection="1">
      <alignment horizontal="center" vertical="center" textRotation="90" wrapText="1"/>
      <protection locked="0"/>
    </xf>
    <xf numFmtId="0" fontId="7" fillId="0" borderId="14" xfId="0" applyFont="1" applyBorder="1" applyAlignment="1" applyProtection="1">
      <alignment horizontal="center" vertical="center" textRotation="90" wrapText="1"/>
      <protection locked="0"/>
    </xf>
    <xf numFmtId="0" fontId="7" fillId="0" borderId="14" xfId="0" applyFont="1" applyBorder="1" applyAlignment="1" applyProtection="1">
      <alignment horizontal="center" vertical="top"/>
      <protection locked="0"/>
    </xf>
    <xf numFmtId="49" fontId="7" fillId="0" borderId="50" xfId="0" applyNumberFormat="1" applyFont="1" applyBorder="1" applyAlignment="1" applyProtection="1">
      <alignment horizontal="center" vertical="center"/>
      <protection locked="0"/>
    </xf>
    <xf numFmtId="0" fontId="7" fillId="0" borderId="7" xfId="0" applyFont="1" applyBorder="1" applyAlignment="1" applyProtection="1">
      <alignment horizontal="center" vertical="center" textRotation="90" wrapText="1"/>
      <protection locked="0"/>
    </xf>
    <xf numFmtId="0" fontId="7" fillId="0" borderId="4" xfId="0" applyFont="1" applyBorder="1" applyAlignment="1" applyProtection="1">
      <alignment horizontal="left" vertical="top"/>
      <protection locked="0"/>
    </xf>
    <xf numFmtId="0" fontId="7" fillId="0" borderId="14" xfId="0" applyFont="1" applyBorder="1" applyAlignment="1" applyProtection="1">
      <alignment horizontal="left" vertical="top" wrapText="1"/>
      <protection locked="0"/>
    </xf>
    <xf numFmtId="0" fontId="7" fillId="0" borderId="4" xfId="0" applyFont="1" applyBorder="1" applyAlignment="1" applyProtection="1">
      <alignment horizontal="center" vertical="top" wrapText="1"/>
      <protection locked="0"/>
    </xf>
    <xf numFmtId="0" fontId="7" fillId="0" borderId="7" xfId="0" applyFont="1" applyBorder="1" applyAlignment="1" applyProtection="1">
      <alignment horizontal="left" vertical="top" wrapText="1"/>
      <protection locked="0"/>
    </xf>
    <xf numFmtId="0" fontId="7" fillId="0" borderId="8" xfId="0" applyFont="1" applyBorder="1" applyAlignment="1" applyProtection="1">
      <alignment horizontal="center" vertical="top" wrapText="1"/>
      <protection locked="0"/>
    </xf>
    <xf numFmtId="49" fontId="7" fillId="0" borderId="53" xfId="0" applyNumberFormat="1" applyFont="1" applyBorder="1" applyAlignment="1" applyProtection="1">
      <alignment horizontal="center" vertical="center"/>
      <protection locked="0"/>
    </xf>
    <xf numFmtId="49" fontId="7" fillId="0" borderId="54" xfId="0" applyNumberFormat="1" applyFont="1" applyBorder="1" applyAlignment="1" applyProtection="1">
      <alignment horizontal="center" vertical="center"/>
      <protection locked="0"/>
    </xf>
    <xf numFmtId="0" fontId="7" fillId="0" borderId="10" xfId="0" applyFont="1" applyBorder="1" applyAlignment="1" applyProtection="1">
      <alignment horizontal="center" vertical="center"/>
      <protection locked="0"/>
    </xf>
    <xf numFmtId="0" fontId="7" fillId="0" borderId="5" xfId="0" applyFont="1" applyBorder="1" applyAlignment="1" applyProtection="1">
      <alignment horizontal="center" vertical="center"/>
      <protection locked="0"/>
    </xf>
    <xf numFmtId="0" fontId="7" fillId="0" borderId="6" xfId="0" applyFont="1" applyBorder="1" applyAlignment="1" applyProtection="1">
      <alignment horizontal="center" vertical="center"/>
      <protection locked="0"/>
    </xf>
    <xf numFmtId="49" fontId="8" fillId="0" borderId="1" xfId="0" applyNumberFormat="1" applyFont="1" applyBorder="1" applyAlignment="1" applyProtection="1">
      <alignment horizontal="center" vertical="center" wrapText="1"/>
      <protection locked="0"/>
    </xf>
    <xf numFmtId="49" fontId="8" fillId="0" borderId="3" xfId="0" applyNumberFormat="1" applyFont="1" applyBorder="1" applyAlignment="1" applyProtection="1">
      <alignment horizontal="center" vertical="center" wrapText="1"/>
      <protection locked="0"/>
    </xf>
    <xf numFmtId="49" fontId="16" fillId="0" borderId="0" xfId="0" applyNumberFormat="1" applyFont="1" applyAlignment="1" applyProtection="1">
      <alignment horizontal="center" vertical="center"/>
      <protection locked="0"/>
    </xf>
    <xf numFmtId="0" fontId="4" fillId="0" borderId="0" xfId="0" applyFont="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12" xfId="0" applyFont="1" applyBorder="1" applyAlignment="1">
      <alignment horizontal="center" vertical="center"/>
    </xf>
    <xf numFmtId="0" fontId="4" fillId="0" borderId="26" xfId="0" applyFont="1" applyBorder="1" applyAlignment="1">
      <alignment horizontal="center" vertical="center"/>
    </xf>
    <xf numFmtId="0" fontId="4" fillId="0" borderId="11" xfId="0" applyFont="1" applyBorder="1" applyAlignment="1">
      <alignment horizontal="center" vertical="center"/>
    </xf>
    <xf numFmtId="0" fontId="4" fillId="0" borderId="21" xfId="0" applyFont="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5" fillId="0" borderId="19" xfId="0" applyFont="1" applyBorder="1" applyAlignment="1">
      <alignment horizontal="left" vertical="top" wrapText="1"/>
    </xf>
    <xf numFmtId="0" fontId="6" fillId="0" borderId="20" xfId="0" applyFont="1" applyBorder="1" applyAlignment="1">
      <alignment horizontal="left" vertical="top"/>
    </xf>
    <xf numFmtId="0" fontId="6" fillId="0" borderId="12" xfId="0" applyFont="1" applyBorder="1" applyAlignment="1">
      <alignment horizontal="left" vertical="top"/>
    </xf>
    <xf numFmtId="0" fontId="6" fillId="0" borderId="21" xfId="0" applyFont="1" applyBorder="1" applyAlignment="1">
      <alignment horizontal="left" vertical="top"/>
    </xf>
    <xf numFmtId="0" fontId="6" fillId="0" borderId="16" xfId="0" applyFont="1" applyBorder="1" applyAlignment="1">
      <alignment horizontal="left" vertical="top"/>
    </xf>
    <xf numFmtId="0" fontId="6" fillId="0" borderId="17" xfId="0" applyFont="1" applyBorder="1" applyAlignment="1">
      <alignment horizontal="left" vertical="top"/>
    </xf>
    <xf numFmtId="0" fontId="7" fillId="0" borderId="41" xfId="0" applyFont="1" applyBorder="1" applyAlignment="1" applyProtection="1">
      <alignment horizontal="center" vertical="top" wrapText="1"/>
      <protection locked="0"/>
    </xf>
    <xf numFmtId="0" fontId="7" fillId="0" borderId="7" xfId="0" applyFont="1" applyBorder="1" applyAlignment="1" applyProtection="1">
      <alignment horizontal="center" vertical="top" wrapText="1"/>
      <protection locked="0"/>
    </xf>
    <xf numFmtId="0" fontId="7" fillId="0" borderId="42" xfId="0" applyFont="1" applyBorder="1" applyAlignment="1" applyProtection="1">
      <alignment horizontal="center" vertical="top" wrapText="1"/>
      <protection locked="0"/>
    </xf>
    <xf numFmtId="0" fontId="7" fillId="0" borderId="40" xfId="0" applyFont="1" applyBorder="1" applyAlignment="1" applyProtection="1">
      <alignment horizontal="center" vertical="top" wrapText="1"/>
      <protection locked="0"/>
    </xf>
    <xf numFmtId="0" fontId="7" fillId="0" borderId="10" xfId="0" applyFont="1" applyBorder="1" applyAlignment="1" applyProtection="1">
      <alignment horizontal="center" vertical="top" wrapText="1"/>
      <protection locked="0"/>
    </xf>
    <xf numFmtId="0" fontId="7" fillId="0" borderId="5" xfId="0" applyFont="1" applyBorder="1" applyAlignment="1" applyProtection="1">
      <alignment horizontal="center" vertical="top" wrapText="1"/>
      <protection locked="0"/>
    </xf>
    <xf numFmtId="0" fontId="7" fillId="0" borderId="6" xfId="0" applyFont="1" applyBorder="1" applyAlignment="1" applyProtection="1">
      <alignment horizontal="center" vertical="top" wrapText="1"/>
      <protection locked="0"/>
    </xf>
    <xf numFmtId="0" fontId="7" fillId="0" borderId="18" xfId="0" applyFont="1" applyBorder="1" applyAlignment="1" applyProtection="1">
      <alignment horizontal="center" vertical="top" wrapText="1"/>
      <protection locked="0"/>
    </xf>
    <xf numFmtId="0" fontId="7" fillId="0" borderId="30" xfId="0" applyFont="1" applyBorder="1" applyAlignment="1" applyProtection="1">
      <alignment horizontal="center" vertical="top" wrapText="1"/>
      <protection locked="0"/>
    </xf>
    <xf numFmtId="0" fontId="7" fillId="0" borderId="31" xfId="0" applyFont="1" applyBorder="1" applyAlignment="1" applyProtection="1">
      <alignment horizontal="center" vertical="top" wrapText="1"/>
      <protection locked="0"/>
    </xf>
    <xf numFmtId="0" fontId="7" fillId="0" borderId="18" xfId="0" applyFont="1" applyBorder="1" applyAlignment="1" applyProtection="1">
      <alignment horizontal="left" vertical="top" wrapText="1"/>
      <protection locked="0"/>
    </xf>
    <xf numFmtId="0" fontId="7" fillId="0" borderId="30" xfId="0" applyFont="1" applyBorder="1" applyAlignment="1" applyProtection="1">
      <alignment horizontal="left" vertical="top" wrapText="1"/>
      <protection locked="0"/>
    </xf>
    <xf numFmtId="0" fontId="7" fillId="0" borderId="35" xfId="0" applyFont="1" applyBorder="1" applyAlignment="1" applyProtection="1">
      <alignment horizontal="left" vertical="top" wrapText="1"/>
      <protection locked="0"/>
    </xf>
    <xf numFmtId="0" fontId="7" fillId="0" borderId="27" xfId="0" applyFont="1" applyBorder="1" applyAlignment="1" applyProtection="1">
      <alignment horizontal="center" vertical="top" wrapText="1"/>
      <protection locked="0"/>
    </xf>
    <xf numFmtId="0" fontId="7" fillId="0" borderId="28" xfId="0" applyFont="1" applyBorder="1" applyAlignment="1" applyProtection="1">
      <alignment horizontal="center" vertical="top" wrapText="1"/>
      <protection locked="0"/>
    </xf>
    <xf numFmtId="0" fontId="7" fillId="0" borderId="29" xfId="0" applyFont="1" applyBorder="1" applyAlignment="1" applyProtection="1">
      <alignment horizontal="center" vertical="top" wrapText="1"/>
      <protection locked="0"/>
    </xf>
    <xf numFmtId="0" fontId="7" fillId="0" borderId="10" xfId="0" applyFont="1" applyBorder="1" applyAlignment="1" applyProtection="1">
      <alignment horizontal="center" vertical="top"/>
      <protection locked="0"/>
    </xf>
    <xf numFmtId="0" fontId="7" fillId="0" borderId="5" xfId="0" applyFont="1" applyBorder="1" applyAlignment="1" applyProtection="1">
      <alignment horizontal="center" vertical="top"/>
      <protection locked="0"/>
    </xf>
    <xf numFmtId="0" fontId="7" fillId="0" borderId="6" xfId="0" applyFont="1" applyBorder="1" applyAlignment="1" applyProtection="1">
      <alignment horizontal="center" vertical="top"/>
      <protection locked="0"/>
    </xf>
    <xf numFmtId="0" fontId="7" fillId="0" borderId="27" xfId="0" applyFont="1" applyBorder="1" applyAlignment="1" applyProtection="1">
      <alignment horizontal="left" vertical="top" wrapText="1"/>
      <protection locked="0"/>
    </xf>
    <xf numFmtId="0" fontId="7" fillId="0" borderId="28" xfId="0" applyFont="1" applyBorder="1" applyAlignment="1" applyProtection="1">
      <alignment horizontal="left" vertical="top" wrapText="1"/>
      <protection locked="0"/>
    </xf>
    <xf numFmtId="0" fontId="7" fillId="0" borderId="29" xfId="0" applyFont="1" applyBorder="1" applyAlignment="1" applyProtection="1">
      <alignment horizontal="left" vertical="top" wrapText="1"/>
      <protection locked="0"/>
    </xf>
    <xf numFmtId="0" fontId="7" fillId="0" borderId="10" xfId="0" applyFont="1" applyBorder="1" applyAlignment="1" applyProtection="1">
      <alignment horizontal="left" vertical="top" wrapText="1"/>
      <protection locked="0"/>
    </xf>
    <xf numFmtId="0" fontId="7" fillId="0" borderId="5" xfId="0" applyFont="1" applyBorder="1" applyAlignment="1" applyProtection="1">
      <alignment horizontal="left" vertical="top" wrapText="1"/>
      <protection locked="0"/>
    </xf>
    <xf numFmtId="0" fontId="7" fillId="0" borderId="6" xfId="0" applyFont="1" applyBorder="1" applyAlignment="1" applyProtection="1">
      <alignment horizontal="left" vertical="top" wrapText="1"/>
      <protection locked="0"/>
    </xf>
    <xf numFmtId="0" fontId="7" fillId="0" borderId="31" xfId="0" applyFont="1" applyBorder="1" applyAlignment="1" applyProtection="1">
      <alignment horizontal="left" vertical="top" wrapText="1"/>
      <protection locked="0"/>
    </xf>
    <xf numFmtId="0" fontId="7" fillId="0" borderId="33" xfId="0" applyFont="1" applyBorder="1" applyAlignment="1" applyProtection="1">
      <alignment horizontal="center" vertical="center" textRotation="90" wrapText="1"/>
      <protection locked="0"/>
    </xf>
    <xf numFmtId="0" fontId="7" fillId="0" borderId="15" xfId="0" applyFont="1" applyBorder="1" applyAlignment="1" applyProtection="1">
      <alignment horizontal="center" vertical="center" textRotation="90" wrapText="1"/>
      <protection locked="0"/>
    </xf>
    <xf numFmtId="0" fontId="7" fillId="0" borderId="32" xfId="0" applyFont="1" applyBorder="1" applyAlignment="1" applyProtection="1">
      <alignment horizontal="center" vertical="center" textRotation="90" wrapText="1"/>
      <protection locked="0"/>
    </xf>
    <xf numFmtId="49" fontId="7" fillId="0" borderId="34" xfId="0" applyNumberFormat="1" applyFont="1" applyBorder="1" applyAlignment="1" applyProtection="1">
      <alignment horizontal="center" vertical="center"/>
      <protection locked="0"/>
    </xf>
    <xf numFmtId="49" fontId="7" fillId="0" borderId="36" xfId="0" applyNumberFormat="1" applyFont="1" applyBorder="1" applyAlignment="1" applyProtection="1">
      <alignment horizontal="center" vertical="center"/>
      <protection locked="0"/>
    </xf>
    <xf numFmtId="49" fontId="7" fillId="0" borderId="38" xfId="0" applyNumberFormat="1" applyFont="1" applyBorder="1" applyAlignment="1" applyProtection="1">
      <alignment horizontal="center" vertical="center"/>
      <protection locked="0"/>
    </xf>
    <xf numFmtId="0" fontId="7" fillId="0" borderId="37" xfId="0" applyFont="1" applyBorder="1" applyAlignment="1" applyProtection="1">
      <alignment horizontal="left" vertical="top" wrapText="1"/>
      <protection locked="0"/>
    </xf>
    <xf numFmtId="0" fontId="7" fillId="0" borderId="39" xfId="0" applyFont="1" applyBorder="1" applyAlignment="1" applyProtection="1">
      <alignment horizontal="left" vertical="top" wrapText="1"/>
      <protection locked="0"/>
    </xf>
    <xf numFmtId="0" fontId="7" fillId="0" borderId="10" xfId="0" applyFont="1" applyBorder="1" applyAlignment="1" applyProtection="1">
      <alignment horizontal="left" vertical="top"/>
      <protection locked="0"/>
    </xf>
    <xf numFmtId="0" fontId="7" fillId="0" borderId="5" xfId="0" applyFont="1" applyBorder="1" applyAlignment="1" applyProtection="1">
      <alignment horizontal="left" vertical="top"/>
      <protection locked="0"/>
    </xf>
    <xf numFmtId="0" fontId="7" fillId="0" borderId="6" xfId="0" applyFont="1" applyBorder="1" applyAlignment="1" applyProtection="1">
      <alignment horizontal="left" vertical="top"/>
      <protection locked="0"/>
    </xf>
    <xf numFmtId="0" fontId="14" fillId="0" borderId="0" xfId="0" applyFont="1" applyAlignment="1" applyProtection="1">
      <alignment horizontal="center" vertical="top" wrapText="1"/>
      <protection locked="0"/>
    </xf>
    <xf numFmtId="0" fontId="15" fillId="0" borderId="0" xfId="0" applyFont="1" applyAlignment="1" applyProtection="1">
      <alignment horizontal="left" vertical="top"/>
      <protection locked="0"/>
    </xf>
    <xf numFmtId="0" fontId="15" fillId="0" borderId="0" xfId="0" applyFont="1" applyAlignment="1" applyProtection="1">
      <alignment horizontal="left" vertical="top" wrapText="1"/>
      <protection locked="0"/>
    </xf>
    <xf numFmtId="0" fontId="15" fillId="0" borderId="46" xfId="0" applyFont="1" applyBorder="1" applyAlignment="1" applyProtection="1">
      <alignment horizontal="left" vertical="top" wrapText="1"/>
      <protection locked="0"/>
    </xf>
    <xf numFmtId="0" fontId="14" fillId="0" borderId="46" xfId="0" applyFont="1" applyBorder="1" applyAlignment="1" applyProtection="1">
      <alignment horizontal="center" vertical="top" wrapText="1"/>
      <protection locked="0"/>
    </xf>
    <xf numFmtId="0" fontId="7" fillId="0" borderId="48" xfId="0" applyFont="1" applyBorder="1" applyAlignment="1" applyProtection="1">
      <alignment horizontal="center" vertical="top" wrapText="1"/>
      <protection locked="0"/>
    </xf>
    <xf numFmtId="0" fontId="7" fillId="0" borderId="49" xfId="0" applyFont="1" applyBorder="1" applyAlignment="1" applyProtection="1">
      <alignment horizontal="center" vertical="top" wrapText="1"/>
      <protection locked="0"/>
    </xf>
    <xf numFmtId="0" fontId="15" fillId="0" borderId="10" xfId="0" applyFont="1" applyBorder="1" applyAlignment="1" applyProtection="1">
      <alignment horizontal="center" vertical="top" wrapText="1"/>
      <protection locked="0"/>
    </xf>
    <xf numFmtId="0" fontId="15" fillId="0" borderId="5" xfId="0" applyFont="1" applyBorder="1" applyAlignment="1" applyProtection="1">
      <alignment horizontal="center" vertical="top" wrapText="1"/>
      <protection locked="0"/>
    </xf>
    <xf numFmtId="0" fontId="15" fillId="0" borderId="6" xfId="0" applyFont="1" applyBorder="1" applyAlignment="1" applyProtection="1">
      <alignment horizontal="center" vertical="top" wrapText="1"/>
      <protection locked="0"/>
    </xf>
    <xf numFmtId="49" fontId="7" fillId="0" borderId="33" xfId="0" applyNumberFormat="1" applyFont="1" applyBorder="1" applyAlignment="1" applyProtection="1">
      <alignment horizontal="center" vertical="center"/>
      <protection locked="0"/>
    </xf>
    <xf numFmtId="49" fontId="7" fillId="0" borderId="15" xfId="0" applyNumberFormat="1" applyFont="1" applyBorder="1" applyAlignment="1" applyProtection="1">
      <alignment horizontal="center" vertical="center"/>
      <protection locked="0"/>
    </xf>
    <xf numFmtId="49" fontId="7" fillId="0" borderId="32" xfId="0" applyNumberFormat="1" applyFont="1" applyBorder="1" applyAlignment="1" applyProtection="1">
      <alignment horizontal="center" vertical="center"/>
      <protection locked="0"/>
    </xf>
    <xf numFmtId="49" fontId="7" fillId="0" borderId="14" xfId="0" applyNumberFormat="1" applyFont="1" applyBorder="1" applyAlignment="1" applyProtection="1">
      <alignment horizontal="center" vertical="center"/>
      <protection locked="0"/>
    </xf>
    <xf numFmtId="0" fontId="15" fillId="0" borderId="4" xfId="0" applyFont="1" applyBorder="1" applyAlignment="1" applyProtection="1">
      <alignment horizontal="left" vertical="top" wrapText="1"/>
      <protection locked="0"/>
    </xf>
    <xf numFmtId="0" fontId="15" fillId="0" borderId="41" xfId="0" applyFont="1" applyBorder="1" applyAlignment="1" applyProtection="1">
      <alignment horizontal="left" vertical="top" wrapText="1"/>
      <protection locked="0"/>
    </xf>
    <xf numFmtId="0" fontId="14" fillId="0" borderId="8" xfId="0" applyFont="1" applyBorder="1" applyAlignment="1" applyProtection="1">
      <alignment horizontal="left" vertical="top" wrapText="1"/>
      <protection locked="0"/>
    </xf>
    <xf numFmtId="0" fontId="14" fillId="0" borderId="40" xfId="0" applyFont="1" applyBorder="1" applyAlignment="1" applyProtection="1">
      <alignment horizontal="left" vertical="top" wrapText="1"/>
      <protection locked="0"/>
    </xf>
    <xf numFmtId="0" fontId="7" fillId="0" borderId="0" xfId="0" applyFont="1" applyAlignment="1" applyProtection="1">
      <alignment horizontal="left" vertical="top" wrapText="1"/>
      <protection locked="0"/>
    </xf>
    <xf numFmtId="0" fontId="15" fillId="0" borderId="0" xfId="0" applyFont="1" applyAlignment="1" applyProtection="1">
      <alignment horizontal="center" vertical="top" wrapText="1"/>
      <protection locked="0"/>
    </xf>
    <xf numFmtId="0" fontId="7" fillId="0" borderId="0" xfId="0" applyFont="1" applyAlignment="1" applyProtection="1">
      <alignment horizontal="center" vertical="top" wrapText="1"/>
      <protection locked="0"/>
    </xf>
    <xf numFmtId="0" fontId="7" fillId="0" borderId="7" xfId="0" applyFont="1" applyBorder="1" applyAlignment="1" applyProtection="1">
      <alignment horizontal="left" vertical="top"/>
      <protection locked="0"/>
    </xf>
    <xf numFmtId="0" fontId="7" fillId="0" borderId="46" xfId="0" applyFont="1" applyBorder="1" applyAlignment="1" applyProtection="1">
      <alignment horizontal="left" vertical="top" wrapText="1"/>
      <protection locked="0"/>
    </xf>
    <xf numFmtId="0" fontId="15" fillId="0" borderId="46" xfId="0" applyFont="1" applyBorder="1" applyAlignment="1" applyProtection="1">
      <alignment horizontal="center" vertical="top" wrapText="1"/>
      <protection locked="0"/>
    </xf>
    <xf numFmtId="49" fontId="16" fillId="0" borderId="13" xfId="0" applyNumberFormat="1" applyFont="1" applyBorder="1" applyAlignment="1" applyProtection="1">
      <alignment horizontal="center" vertical="center"/>
      <protection locked="0"/>
    </xf>
    <xf numFmtId="164" fontId="19" fillId="0" borderId="67" xfId="2" applyNumberFormat="1" applyFont="1" applyBorder="1" applyAlignment="1">
      <alignment horizontal="center" vertical="center"/>
    </xf>
    <xf numFmtId="0" fontId="19" fillId="0" borderId="69" xfId="2" applyFont="1" applyBorder="1" applyAlignment="1">
      <alignment horizontal="center" vertical="center"/>
    </xf>
    <xf numFmtId="0" fontId="19" fillId="0" borderId="70" xfId="2" applyFont="1" applyBorder="1" applyAlignment="1">
      <alignment horizontal="center" vertical="center"/>
    </xf>
    <xf numFmtId="0" fontId="20" fillId="0" borderId="61" xfId="2" applyFont="1" applyBorder="1" applyAlignment="1" applyProtection="1">
      <alignment horizontal="center" vertical="center"/>
      <protection locked="0"/>
    </xf>
    <xf numFmtId="0" fontId="20" fillId="0" borderId="62" xfId="2" applyFont="1" applyBorder="1" applyAlignment="1" applyProtection="1">
      <alignment horizontal="center" vertical="center"/>
      <protection locked="0"/>
    </xf>
    <xf numFmtId="0" fontId="20" fillId="0" borderId="63" xfId="2" applyFont="1" applyBorder="1" applyAlignment="1" applyProtection="1">
      <alignment horizontal="center" vertical="center"/>
      <protection locked="0"/>
    </xf>
    <xf numFmtId="0" fontId="20" fillId="0" borderId="64" xfId="2" applyFont="1" applyBorder="1" applyAlignment="1" applyProtection="1">
      <alignment horizontal="center" vertical="center"/>
      <protection locked="0"/>
    </xf>
    <xf numFmtId="0" fontId="20" fillId="0" borderId="0" xfId="2" applyFont="1" applyAlignment="1" applyProtection="1">
      <alignment horizontal="center" vertical="center"/>
      <protection locked="0"/>
    </xf>
    <xf numFmtId="0" fontId="20" fillId="0" borderId="65" xfId="2" applyFont="1" applyBorder="1" applyAlignment="1" applyProtection="1">
      <alignment horizontal="center" vertical="center"/>
      <protection locked="0"/>
    </xf>
    <xf numFmtId="0" fontId="8" fillId="0" borderId="64" xfId="2" applyFont="1" applyBorder="1" applyAlignment="1" applyProtection="1">
      <alignment horizontal="center"/>
      <protection locked="0"/>
    </xf>
    <xf numFmtId="0" fontId="8" fillId="0" borderId="0" xfId="2" applyFont="1" applyAlignment="1" applyProtection="1">
      <alignment horizontal="center"/>
      <protection locked="0"/>
    </xf>
    <xf numFmtId="164" fontId="19" fillId="0" borderId="25" xfId="2" applyNumberFormat="1" applyFont="1" applyBorder="1" applyAlignment="1">
      <alignment horizontal="center" vertical="center"/>
    </xf>
    <xf numFmtId="0" fontId="19" fillId="0" borderId="57" xfId="2" applyFont="1" applyBorder="1" applyAlignment="1">
      <alignment horizontal="center" vertical="center"/>
    </xf>
    <xf numFmtId="0" fontId="19" fillId="0" borderId="58" xfId="2" applyFont="1" applyBorder="1" applyAlignment="1">
      <alignment horizontal="center" vertical="center"/>
    </xf>
    <xf numFmtId="164" fontId="19" fillId="0" borderId="19" xfId="2" applyNumberFormat="1" applyFont="1" applyBorder="1" applyAlignment="1">
      <alignment horizontal="center" vertical="center"/>
    </xf>
    <xf numFmtId="0" fontId="19" fillId="0" borderId="26" xfId="2" applyFont="1" applyBorder="1" applyAlignment="1">
      <alignment horizontal="center" vertical="center"/>
    </xf>
    <xf numFmtId="0" fontId="19" fillId="0" borderId="21" xfId="2" applyFont="1" applyBorder="1" applyAlignment="1">
      <alignment horizontal="center" vertical="center"/>
    </xf>
    <xf numFmtId="0" fontId="8" fillId="0" borderId="75" xfId="2" applyFont="1" applyBorder="1" applyAlignment="1" applyProtection="1">
      <alignment horizontal="center"/>
      <protection locked="0"/>
    </xf>
    <xf numFmtId="0" fontId="8" fillId="0" borderId="5" xfId="2" applyFont="1" applyBorder="1" applyAlignment="1" applyProtection="1">
      <alignment horizontal="center"/>
      <protection locked="0"/>
    </xf>
    <xf numFmtId="0" fontId="8" fillId="0" borderId="6" xfId="2" applyFont="1" applyBorder="1" applyAlignment="1" applyProtection="1">
      <alignment horizontal="center"/>
      <protection locked="0"/>
    </xf>
  </cellXfs>
  <cellStyles count="3">
    <cellStyle name="Normal" xfId="0" builtinId="0"/>
    <cellStyle name="Normal 2" xfId="2" xr:uid="{70DA64F5-D005-468D-8D69-88E8179BA4CC}"/>
    <cellStyle name="Porcentaje" xfId="1" builtinId="5"/>
  </cellStyles>
  <dxfs count="10">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150" b="0" i="0" u="none" strike="noStrike" baseline="0">
                <a:solidFill>
                  <a:srgbClr val="000000"/>
                </a:solidFill>
                <a:latin typeface="Arial"/>
                <a:ea typeface="Arial"/>
                <a:cs typeface="Arial"/>
              </a:defRPr>
            </a:pPr>
            <a:r>
              <a:rPr lang="es-ES" sz="1100" b="1" i="0" u="none" strike="noStrike" baseline="0">
                <a:solidFill>
                  <a:srgbClr val="000000"/>
                </a:solidFill>
                <a:latin typeface="Arial"/>
                <a:cs typeface="Arial"/>
              </a:rPr>
              <a:t>Evolución de la tendencia</a:t>
            </a:r>
          </a:p>
          <a:p>
            <a:pPr algn="l">
              <a:defRPr sz="1150" b="0" i="0" u="none" strike="noStrike" baseline="0">
                <a:solidFill>
                  <a:srgbClr val="000000"/>
                </a:solidFill>
                <a:latin typeface="Arial"/>
                <a:ea typeface="Arial"/>
                <a:cs typeface="Arial"/>
              </a:defRPr>
            </a:pPr>
            <a:r>
              <a:rPr lang="es-ES" sz="1100" b="0" i="1" u="none" strike="noStrike" baseline="0">
                <a:solidFill>
                  <a:srgbClr val="000000"/>
                </a:solidFill>
                <a:latin typeface="Arial"/>
                <a:cs typeface="Arial"/>
              </a:rPr>
              <a:t>Entire fulfillment trend</a:t>
            </a:r>
          </a:p>
        </c:rich>
      </c:tx>
      <c:layout>
        <c:manualLayout>
          <c:xMode val="edge"/>
          <c:yMode val="edge"/>
          <c:x val="0.14847954414620107"/>
          <c:y val="1.5822970404561498E-2"/>
        </c:manualLayout>
      </c:layout>
      <c:overlay val="0"/>
      <c:spPr>
        <a:noFill/>
        <a:ln w="25400">
          <a:noFill/>
        </a:ln>
      </c:spPr>
    </c:title>
    <c:autoTitleDeleted val="0"/>
    <c:plotArea>
      <c:layout>
        <c:manualLayout>
          <c:layoutTarget val="inner"/>
          <c:xMode val="edge"/>
          <c:yMode val="edge"/>
          <c:x val="0.1359571849469485"/>
          <c:y val="0.21202564407641306"/>
          <c:w val="0.65116335948275339"/>
          <c:h val="0.53797551482074957"/>
        </c:manualLayout>
      </c:layout>
      <c:lineChart>
        <c:grouping val="standard"/>
        <c:varyColors val="0"/>
        <c:ser>
          <c:idx val="0"/>
          <c:order val="0"/>
          <c:tx>
            <c:strRef>
              <c:f>'TIPO A Diagrama Radar T1'!$B$45</c:f>
              <c:strCache>
                <c:ptCount val="1"/>
                <c:pt idx="0">
                  <c:v>Resultado</c:v>
                </c:pt>
              </c:strCache>
            </c:strRef>
          </c:tx>
          <c:spPr>
            <a:ln w="38100">
              <a:solidFill>
                <a:srgbClr val="000080"/>
              </a:solidFill>
              <a:prstDash val="solid"/>
            </a:ln>
          </c:spPr>
          <c:marker>
            <c:symbol val="diamond"/>
            <c:size val="9"/>
            <c:spPr>
              <a:solidFill>
                <a:srgbClr val="000080"/>
              </a:solidFill>
              <a:ln>
                <a:solidFill>
                  <a:srgbClr val="000080"/>
                </a:solidFill>
                <a:prstDash val="solid"/>
              </a:ln>
            </c:spPr>
          </c:marker>
          <c:val>
            <c:numRef>
              <c:f>'TIPO A Diagrama Radar T1'!$B$46:$B$49</c:f>
              <c:numCache>
                <c:formatCode>0</c:formatCode>
                <c:ptCount val="4"/>
                <c:pt idx="0">
                  <c:v>77</c:v>
                </c:pt>
                <c:pt idx="1">
                  <c:v>90</c:v>
                </c:pt>
                <c:pt idx="2">
                  <c:v>90</c:v>
                </c:pt>
                <c:pt idx="3">
                  <c:v>90</c:v>
                </c:pt>
              </c:numCache>
            </c:numRef>
          </c:val>
          <c:smooth val="0"/>
          <c:extLst>
            <c:ext xmlns:c16="http://schemas.microsoft.com/office/drawing/2014/chart" uri="{C3380CC4-5D6E-409C-BE32-E72D297353CC}">
              <c16:uniqueId val="{00000000-31A2-488B-8177-375CCE000FC9}"/>
            </c:ext>
          </c:extLst>
        </c:ser>
        <c:ser>
          <c:idx val="1"/>
          <c:order val="1"/>
          <c:tx>
            <c:strRef>
              <c:f>'TIPO A Diagrama Radar T1'!$C$45</c:f>
              <c:strCache>
                <c:ptCount val="1"/>
                <c:pt idx="0">
                  <c:v>Objetivo</c:v>
                </c:pt>
              </c:strCache>
            </c:strRef>
          </c:tx>
          <c:spPr>
            <a:ln w="38100">
              <a:solidFill>
                <a:srgbClr val="00FF00"/>
              </a:solidFill>
              <a:prstDash val="solid"/>
            </a:ln>
          </c:spPr>
          <c:marker>
            <c:symbol val="square"/>
            <c:size val="9"/>
            <c:spPr>
              <a:solidFill>
                <a:srgbClr val="00FF00"/>
              </a:solidFill>
              <a:ln>
                <a:solidFill>
                  <a:srgbClr val="00FF00"/>
                </a:solidFill>
                <a:prstDash val="solid"/>
              </a:ln>
            </c:spPr>
          </c:marker>
          <c:val>
            <c:numRef>
              <c:f>'TIPO A Diagrama Radar T1'!$C$46:$C$49</c:f>
              <c:numCache>
                <c:formatCode>General</c:formatCode>
                <c:ptCount val="4"/>
                <c:pt idx="0">
                  <c:v>76</c:v>
                </c:pt>
                <c:pt idx="1">
                  <c:v>76</c:v>
                </c:pt>
                <c:pt idx="2">
                  <c:v>76</c:v>
                </c:pt>
                <c:pt idx="3">
                  <c:v>76</c:v>
                </c:pt>
              </c:numCache>
            </c:numRef>
          </c:val>
          <c:smooth val="0"/>
          <c:extLst>
            <c:ext xmlns:c16="http://schemas.microsoft.com/office/drawing/2014/chart" uri="{C3380CC4-5D6E-409C-BE32-E72D297353CC}">
              <c16:uniqueId val="{00000001-31A2-488B-8177-375CCE000FC9}"/>
            </c:ext>
          </c:extLst>
        </c:ser>
        <c:dLbls>
          <c:showLegendKey val="0"/>
          <c:showVal val="0"/>
          <c:showCatName val="0"/>
          <c:showSerName val="0"/>
          <c:showPercent val="0"/>
          <c:showBubbleSize val="0"/>
        </c:dLbls>
        <c:marker val="1"/>
        <c:smooth val="0"/>
        <c:axId val="173598592"/>
        <c:axId val="173867392"/>
      </c:lineChart>
      <c:catAx>
        <c:axId val="173598592"/>
        <c:scaling>
          <c:orientation val="minMax"/>
        </c:scaling>
        <c:delete val="0"/>
        <c:axPos val="b"/>
        <c:majorGridlines>
          <c:spPr>
            <a:ln w="3175">
              <a:solidFill>
                <a:srgbClr val="000000"/>
              </a:solidFill>
              <a:prstDash val="solid"/>
            </a:ln>
          </c:spPr>
        </c:majorGridlines>
        <c:title>
          <c:tx>
            <c:rich>
              <a:bodyPr/>
              <a:lstStyle/>
              <a:p>
                <a:pPr>
                  <a:defRPr sz="1150" b="1" i="0" u="none" strike="noStrike" baseline="0">
                    <a:solidFill>
                      <a:srgbClr val="000000"/>
                    </a:solidFill>
                    <a:latin typeface="Arial"/>
                    <a:ea typeface="Arial"/>
                    <a:cs typeface="Arial"/>
                  </a:defRPr>
                </a:pPr>
                <a:r>
                  <a:rPr lang="es-ES"/>
                  <a:t>TRIMESTRE</a:t>
                </a:r>
              </a:p>
            </c:rich>
          </c:tx>
          <c:layout>
            <c:manualLayout>
              <c:xMode val="edge"/>
              <c:yMode val="edge"/>
              <c:x val="0.37924909014625957"/>
              <c:y val="0.8607609738437866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s-ES"/>
          </a:p>
        </c:txPr>
        <c:crossAx val="173867392"/>
        <c:crosses val="autoZero"/>
        <c:auto val="1"/>
        <c:lblAlgn val="ctr"/>
        <c:lblOffset val="100"/>
        <c:tickLblSkip val="1"/>
        <c:tickMarkSkip val="1"/>
        <c:noMultiLvlLbl val="0"/>
      </c:catAx>
      <c:valAx>
        <c:axId val="173867392"/>
        <c:scaling>
          <c:orientation val="minMax"/>
        </c:scaling>
        <c:delete val="0"/>
        <c:axPos val="l"/>
        <c:majorGridlines>
          <c:spPr>
            <a:ln w="3175">
              <a:solidFill>
                <a:srgbClr val="000000"/>
              </a:solidFill>
              <a:prstDash val="solid"/>
            </a:ln>
          </c:spPr>
        </c:majorGridlines>
        <c:title>
          <c:tx>
            <c:rich>
              <a:bodyPr/>
              <a:lstStyle/>
              <a:p>
                <a:pPr>
                  <a:defRPr sz="1150" b="1" i="0" u="none" strike="noStrike" baseline="0">
                    <a:solidFill>
                      <a:srgbClr val="000000"/>
                    </a:solidFill>
                    <a:latin typeface="Arial"/>
                    <a:ea typeface="Arial"/>
                    <a:cs typeface="Arial"/>
                  </a:defRPr>
                </a:pPr>
                <a:r>
                  <a:rPr lang="es-ES"/>
                  <a:t>%</a:t>
                </a:r>
              </a:p>
            </c:rich>
          </c:tx>
          <c:layout>
            <c:manualLayout>
              <c:xMode val="edge"/>
              <c:yMode val="edge"/>
              <c:x val="3.2200333694347681E-2"/>
              <c:y val="0.4556966241288804"/>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s-ES"/>
          </a:p>
        </c:txPr>
        <c:crossAx val="173598592"/>
        <c:crosses val="autoZero"/>
        <c:crossBetween val="between"/>
      </c:valAx>
      <c:spPr>
        <a:solidFill>
          <a:srgbClr val="FFFFFF"/>
        </a:solidFill>
        <a:ln w="12700">
          <a:solidFill>
            <a:srgbClr val="808080"/>
          </a:solidFill>
          <a:prstDash val="solid"/>
        </a:ln>
      </c:spPr>
    </c:plotArea>
    <c:legend>
      <c:legendPos val="r"/>
      <c:layout>
        <c:manualLayout>
          <c:xMode val="edge"/>
          <c:yMode val="edge"/>
          <c:x val="0.79248738889051507"/>
          <c:y val="0.40133767761788391"/>
          <c:w val="0.19499126735552108"/>
          <c:h val="0.14715720879717625"/>
        </c:manualLayout>
      </c:layout>
      <c:overlay val="0"/>
      <c:spPr>
        <a:solidFill>
          <a:srgbClr val="FFFFFF"/>
        </a:solidFill>
        <a:ln w="3175">
          <a:solidFill>
            <a:srgbClr val="000000"/>
          </a:solidFill>
          <a:prstDash val="solid"/>
        </a:ln>
      </c:spPr>
      <c:txPr>
        <a:bodyPr/>
        <a:lstStyle/>
        <a:p>
          <a:pPr>
            <a:defRPr sz="890"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s-ES"/>
    </a:p>
  </c:txPr>
  <c:printSettings>
    <c:headerFooter alignWithMargins="0"/>
    <c:pageMargins b="1" l="0.75" r="0.75" t="1" header="0.4921259845" footer="0.4921259845"/>
    <c:pageSetup paperSize="9" orientation="landscape" horizontalDpi="-2"/>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AUDIT. 5S. T1</a:t>
            </a:r>
          </a:p>
        </c:rich>
      </c:tx>
      <c:layout>
        <c:manualLayout>
          <c:xMode val="edge"/>
          <c:yMode val="edge"/>
          <c:x val="0.59011367696684969"/>
          <c:y val="5.15785519460368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768623039767088"/>
          <c:y val="0.18767390552502441"/>
          <c:w val="0.34529859860062478"/>
          <c:h val="0.62465218894995111"/>
        </c:manualLayout>
      </c:layout>
      <c:radarChart>
        <c:radarStyle val="filled"/>
        <c:varyColors val="0"/>
        <c:ser>
          <c:idx val="0"/>
          <c:order val="0"/>
          <c:tx>
            <c:strRef>
              <c:f>'TIPO A Diagrama Radar T1'!$A$7</c:f>
              <c:strCache>
                <c:ptCount val="1"/>
                <c:pt idx="0">
                  <c:v>AUDIT. T1</c:v>
                </c:pt>
              </c:strCache>
            </c:strRef>
          </c:tx>
          <c:spPr>
            <a:solidFill>
              <a:schemeClr val="accent1"/>
            </a:solidFill>
            <a:ln>
              <a:noFill/>
            </a:ln>
            <a:effectLst/>
          </c:spPr>
          <c:cat>
            <c:strRef>
              <c:f>'TIPO A Diagrama Radar T1'!$B$6:$F$6</c:f>
              <c:strCache>
                <c:ptCount val="5"/>
                <c:pt idx="0">
                  <c:v>1S</c:v>
                </c:pt>
                <c:pt idx="1">
                  <c:v>2S</c:v>
                </c:pt>
                <c:pt idx="2">
                  <c:v>3S</c:v>
                </c:pt>
                <c:pt idx="3">
                  <c:v>4S</c:v>
                </c:pt>
                <c:pt idx="4">
                  <c:v>5S</c:v>
                </c:pt>
              </c:strCache>
            </c:strRef>
          </c:cat>
          <c:val>
            <c:numRef>
              <c:f>'TIPO A Diagrama Radar T1'!$B$7:$F$7</c:f>
              <c:numCache>
                <c:formatCode>0.0</c:formatCode>
                <c:ptCount val="5"/>
                <c:pt idx="0">
                  <c:v>90</c:v>
                </c:pt>
                <c:pt idx="1">
                  <c:v>80</c:v>
                </c:pt>
                <c:pt idx="2">
                  <c:v>72.5</c:v>
                </c:pt>
                <c:pt idx="3">
                  <c:v>72.5</c:v>
                </c:pt>
                <c:pt idx="4">
                  <c:v>70</c:v>
                </c:pt>
              </c:numCache>
            </c:numRef>
          </c:val>
          <c:extLst>
            <c:ext xmlns:c16="http://schemas.microsoft.com/office/drawing/2014/chart" uri="{C3380CC4-5D6E-409C-BE32-E72D297353CC}">
              <c16:uniqueId val="{00000000-90DF-4FBB-AE15-5E0D461B756A}"/>
            </c:ext>
          </c:extLst>
        </c:ser>
        <c:dLbls>
          <c:showLegendKey val="0"/>
          <c:showVal val="0"/>
          <c:showCatName val="0"/>
          <c:showSerName val="0"/>
          <c:showPercent val="0"/>
          <c:showBubbleSize val="0"/>
        </c:dLbls>
        <c:axId val="398741304"/>
        <c:axId val="398741632"/>
      </c:radarChart>
      <c:radarChart>
        <c:radarStyle val="marker"/>
        <c:varyColors val="0"/>
        <c:ser>
          <c:idx val="1"/>
          <c:order val="1"/>
          <c:tx>
            <c:strRef>
              <c:f>'TIPO A Diagrama Radar T1'!$A$8</c:f>
              <c:strCache>
                <c:ptCount val="1"/>
                <c:pt idx="0">
                  <c:v>Objetivo</c:v>
                </c:pt>
              </c:strCache>
            </c:strRef>
          </c:tx>
          <c:spPr>
            <a:ln w="28575" cap="rnd">
              <a:solidFill>
                <a:schemeClr val="accent2"/>
              </a:solidFill>
              <a:round/>
            </a:ln>
            <a:effectLst/>
          </c:spPr>
          <c:marker>
            <c:symbol val="none"/>
          </c:marker>
          <c:cat>
            <c:strRef>
              <c:f>'TIPO A Diagrama Radar T1'!$B$6:$F$6</c:f>
              <c:strCache>
                <c:ptCount val="5"/>
                <c:pt idx="0">
                  <c:v>1S</c:v>
                </c:pt>
                <c:pt idx="1">
                  <c:v>2S</c:v>
                </c:pt>
                <c:pt idx="2">
                  <c:v>3S</c:v>
                </c:pt>
                <c:pt idx="3">
                  <c:v>4S</c:v>
                </c:pt>
                <c:pt idx="4">
                  <c:v>5S</c:v>
                </c:pt>
              </c:strCache>
            </c:strRef>
          </c:cat>
          <c:val>
            <c:numRef>
              <c:f>'TIPO A Diagrama Radar T1'!$B$8:$F$8</c:f>
              <c:numCache>
                <c:formatCode>General</c:formatCode>
                <c:ptCount val="5"/>
                <c:pt idx="0">
                  <c:v>90</c:v>
                </c:pt>
                <c:pt idx="1">
                  <c:v>80</c:v>
                </c:pt>
                <c:pt idx="2">
                  <c:v>70</c:v>
                </c:pt>
                <c:pt idx="3">
                  <c:v>70</c:v>
                </c:pt>
                <c:pt idx="4">
                  <c:v>70</c:v>
                </c:pt>
              </c:numCache>
            </c:numRef>
          </c:val>
          <c:extLst>
            <c:ext xmlns:c16="http://schemas.microsoft.com/office/drawing/2014/chart" uri="{C3380CC4-5D6E-409C-BE32-E72D297353CC}">
              <c16:uniqueId val="{00000001-90DF-4FBB-AE15-5E0D461B756A}"/>
            </c:ext>
          </c:extLst>
        </c:ser>
        <c:ser>
          <c:idx val="2"/>
          <c:order val="2"/>
          <c:tx>
            <c:strRef>
              <c:f>'TIPO A Diagrama Radar T1'!$A$9</c:f>
              <c:strCache>
                <c:ptCount val="1"/>
                <c:pt idx="0">
                  <c:v>Min</c:v>
                </c:pt>
              </c:strCache>
            </c:strRef>
          </c:tx>
          <c:spPr>
            <a:ln w="28575" cap="rnd">
              <a:solidFill>
                <a:schemeClr val="accent3"/>
              </a:solidFill>
              <a:round/>
            </a:ln>
            <a:effectLst/>
          </c:spPr>
          <c:marker>
            <c:symbol val="none"/>
          </c:marker>
          <c:cat>
            <c:strRef>
              <c:f>'TIPO A Diagrama Radar T1'!$B$6:$F$6</c:f>
              <c:strCache>
                <c:ptCount val="5"/>
                <c:pt idx="0">
                  <c:v>1S</c:v>
                </c:pt>
                <c:pt idx="1">
                  <c:v>2S</c:v>
                </c:pt>
                <c:pt idx="2">
                  <c:v>3S</c:v>
                </c:pt>
                <c:pt idx="3">
                  <c:v>4S</c:v>
                </c:pt>
                <c:pt idx="4">
                  <c:v>5S</c:v>
                </c:pt>
              </c:strCache>
            </c:strRef>
          </c:cat>
          <c:val>
            <c:numRef>
              <c:f>'TIPO A Diagrama Radar T1'!$B$9:$F$9</c:f>
              <c:numCache>
                <c:formatCode>General</c:formatCode>
                <c:ptCount val="5"/>
                <c:pt idx="0">
                  <c:v>80</c:v>
                </c:pt>
                <c:pt idx="1">
                  <c:v>60</c:v>
                </c:pt>
                <c:pt idx="2">
                  <c:v>50</c:v>
                </c:pt>
                <c:pt idx="3">
                  <c:v>50</c:v>
                </c:pt>
                <c:pt idx="4">
                  <c:v>50</c:v>
                </c:pt>
              </c:numCache>
            </c:numRef>
          </c:val>
          <c:extLst>
            <c:ext xmlns:c16="http://schemas.microsoft.com/office/drawing/2014/chart" uri="{C3380CC4-5D6E-409C-BE32-E72D297353CC}">
              <c16:uniqueId val="{00000002-90DF-4FBB-AE15-5E0D461B756A}"/>
            </c:ext>
          </c:extLst>
        </c:ser>
        <c:dLbls>
          <c:showLegendKey val="0"/>
          <c:showVal val="0"/>
          <c:showCatName val="0"/>
          <c:showSerName val="0"/>
          <c:showPercent val="0"/>
          <c:showBubbleSize val="0"/>
        </c:dLbls>
        <c:axId val="398741304"/>
        <c:axId val="398741632"/>
      </c:radarChart>
      <c:radarChart>
        <c:radarStyle val="marker"/>
        <c:varyColors val="0"/>
        <c:ser>
          <c:idx val="3"/>
          <c:order val="3"/>
          <c:tx>
            <c:strRef>
              <c:f>'TIPO A Diagrama Radar T1'!$A$10</c:f>
              <c:strCache>
                <c:ptCount val="1"/>
                <c:pt idx="0">
                  <c:v>Max</c:v>
                </c:pt>
              </c:strCache>
            </c:strRef>
          </c:tx>
          <c:spPr>
            <a:ln w="28575" cap="rnd">
              <a:solidFill>
                <a:schemeClr val="accent4"/>
              </a:solidFill>
              <a:round/>
            </a:ln>
            <a:effectLst/>
          </c:spPr>
          <c:marker>
            <c:symbol val="none"/>
          </c:marker>
          <c:cat>
            <c:strRef>
              <c:f>'TIPO A Diagrama Radar T1'!$B$6:$F$6</c:f>
              <c:strCache>
                <c:ptCount val="5"/>
                <c:pt idx="0">
                  <c:v>1S</c:v>
                </c:pt>
                <c:pt idx="1">
                  <c:v>2S</c:v>
                </c:pt>
                <c:pt idx="2">
                  <c:v>3S</c:v>
                </c:pt>
                <c:pt idx="3">
                  <c:v>4S</c:v>
                </c:pt>
                <c:pt idx="4">
                  <c:v>5S</c:v>
                </c:pt>
              </c:strCache>
            </c:strRef>
          </c:cat>
          <c:val>
            <c:numRef>
              <c:f>'TIPO A Diagrama Radar T1'!$B$10:$F$10</c:f>
              <c:numCache>
                <c:formatCode>General</c:formatCode>
                <c:ptCount val="5"/>
                <c:pt idx="0">
                  <c:v>100</c:v>
                </c:pt>
                <c:pt idx="1">
                  <c:v>100</c:v>
                </c:pt>
                <c:pt idx="2">
                  <c:v>100</c:v>
                </c:pt>
                <c:pt idx="3">
                  <c:v>100</c:v>
                </c:pt>
                <c:pt idx="4">
                  <c:v>100</c:v>
                </c:pt>
              </c:numCache>
            </c:numRef>
          </c:val>
          <c:extLst>
            <c:ext xmlns:c16="http://schemas.microsoft.com/office/drawing/2014/chart" uri="{C3380CC4-5D6E-409C-BE32-E72D297353CC}">
              <c16:uniqueId val="{00000003-90DF-4FBB-AE15-5E0D461B756A}"/>
            </c:ext>
          </c:extLst>
        </c:ser>
        <c:dLbls>
          <c:showLegendKey val="0"/>
          <c:showVal val="0"/>
          <c:showCatName val="0"/>
          <c:showSerName val="0"/>
          <c:showPercent val="0"/>
          <c:showBubbleSize val="0"/>
        </c:dLbls>
        <c:axId val="398749832"/>
        <c:axId val="398750816"/>
      </c:radarChart>
      <c:catAx>
        <c:axId val="398741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8741632"/>
        <c:crosses val="autoZero"/>
        <c:auto val="1"/>
        <c:lblAlgn val="ctr"/>
        <c:lblOffset val="100"/>
        <c:noMultiLvlLbl val="0"/>
      </c:catAx>
      <c:valAx>
        <c:axId val="398741632"/>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398741304"/>
        <c:crosses val="autoZero"/>
        <c:crossBetween val="between"/>
      </c:valAx>
      <c:valAx>
        <c:axId val="398750816"/>
        <c:scaling>
          <c:orientation val="minMax"/>
        </c:scaling>
        <c:delete val="1"/>
        <c:axPos val="l"/>
        <c:numFmt formatCode="General" sourceLinked="1"/>
        <c:majorTickMark val="out"/>
        <c:minorTickMark val="none"/>
        <c:tickLblPos val="nextTo"/>
        <c:crossAx val="398749832"/>
        <c:crosses val="max"/>
        <c:crossBetween val="between"/>
      </c:valAx>
      <c:catAx>
        <c:axId val="398749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8750816"/>
        <c:crosses val="max"/>
        <c:auto val="1"/>
        <c:lblAlgn val="ctr"/>
        <c:lblOffset val="100"/>
        <c:noMultiLvlLbl val="0"/>
      </c:catAx>
      <c:spPr>
        <a:noFill/>
        <a:ln>
          <a:noFill/>
        </a:ln>
        <a:effectLst/>
      </c:spPr>
    </c:plotArea>
    <c:legend>
      <c:legendPos val="r"/>
      <c:layout>
        <c:manualLayout>
          <c:xMode val="edge"/>
          <c:yMode val="edge"/>
          <c:x val="0.65661897896565757"/>
          <c:y val="0.26988298337707789"/>
          <c:w val="0.24948430741931907"/>
          <c:h val="0.255501324514364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AUDIT. 5S. T2</a:t>
            </a:r>
          </a:p>
        </c:rich>
      </c:tx>
      <c:layout>
        <c:manualLayout>
          <c:xMode val="edge"/>
          <c:yMode val="edge"/>
          <c:x val="0.61028161620642496"/>
          <c:y val="0.1812189199255121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20538318622013213"/>
          <c:y val="0.19612142821769921"/>
          <c:w val="0.34734468044562711"/>
          <c:h val="0.6203357599168029"/>
        </c:manualLayout>
      </c:layout>
      <c:radarChart>
        <c:radarStyle val="filled"/>
        <c:varyColors val="0"/>
        <c:ser>
          <c:idx val="0"/>
          <c:order val="0"/>
          <c:tx>
            <c:strRef>
              <c:f>'TIPO A Diagrama Radar T1'!$A$17</c:f>
              <c:strCache>
                <c:ptCount val="1"/>
                <c:pt idx="0">
                  <c:v>AUDIT. T2</c:v>
                </c:pt>
              </c:strCache>
            </c:strRef>
          </c:tx>
          <c:spPr>
            <a:solidFill>
              <a:schemeClr val="accent1"/>
            </a:solidFill>
            <a:ln>
              <a:noFill/>
            </a:ln>
            <a:effectLst/>
          </c:spPr>
          <c:cat>
            <c:strRef>
              <c:f>'TIPO A Diagrama Radar T1'!$B$16:$F$16</c:f>
              <c:strCache>
                <c:ptCount val="5"/>
                <c:pt idx="0">
                  <c:v>1S</c:v>
                </c:pt>
                <c:pt idx="1">
                  <c:v>2S</c:v>
                </c:pt>
                <c:pt idx="2">
                  <c:v>3S</c:v>
                </c:pt>
                <c:pt idx="3">
                  <c:v>4S</c:v>
                </c:pt>
                <c:pt idx="4">
                  <c:v>5S</c:v>
                </c:pt>
              </c:strCache>
            </c:strRef>
          </c:cat>
          <c:val>
            <c:numRef>
              <c:f>'TIPO A Diagrama Radar T1'!$B$17:$F$17</c:f>
              <c:numCache>
                <c:formatCode>0.0</c:formatCode>
                <c:ptCount val="5"/>
                <c:pt idx="0">
                  <c:v>90</c:v>
                </c:pt>
                <c:pt idx="1">
                  <c:v>90</c:v>
                </c:pt>
                <c:pt idx="2">
                  <c:v>90</c:v>
                </c:pt>
                <c:pt idx="3">
                  <c:v>90</c:v>
                </c:pt>
                <c:pt idx="4">
                  <c:v>90</c:v>
                </c:pt>
              </c:numCache>
            </c:numRef>
          </c:val>
          <c:extLst>
            <c:ext xmlns:c16="http://schemas.microsoft.com/office/drawing/2014/chart" uri="{C3380CC4-5D6E-409C-BE32-E72D297353CC}">
              <c16:uniqueId val="{00000000-86E4-4D7A-A0B9-0A19C8F39AC6}"/>
            </c:ext>
          </c:extLst>
        </c:ser>
        <c:dLbls>
          <c:showLegendKey val="0"/>
          <c:showVal val="0"/>
          <c:showCatName val="0"/>
          <c:showSerName val="0"/>
          <c:showPercent val="0"/>
          <c:showBubbleSize val="0"/>
        </c:dLbls>
        <c:axId val="398741304"/>
        <c:axId val="398741632"/>
      </c:radarChart>
      <c:radarChart>
        <c:radarStyle val="marker"/>
        <c:varyColors val="0"/>
        <c:ser>
          <c:idx val="1"/>
          <c:order val="1"/>
          <c:tx>
            <c:strRef>
              <c:f>'TIPO A Diagrama Radar T1'!$A$18</c:f>
              <c:strCache>
                <c:ptCount val="1"/>
                <c:pt idx="0">
                  <c:v>Objetivo</c:v>
                </c:pt>
              </c:strCache>
            </c:strRef>
          </c:tx>
          <c:spPr>
            <a:ln w="28575" cap="rnd">
              <a:solidFill>
                <a:schemeClr val="accent2"/>
              </a:solidFill>
              <a:round/>
            </a:ln>
            <a:effectLst/>
          </c:spPr>
          <c:marker>
            <c:symbol val="none"/>
          </c:marker>
          <c:cat>
            <c:strRef>
              <c:f>'TIPO A Diagrama Radar T1'!$B$16:$F$16</c:f>
              <c:strCache>
                <c:ptCount val="5"/>
                <c:pt idx="0">
                  <c:v>1S</c:v>
                </c:pt>
                <c:pt idx="1">
                  <c:v>2S</c:v>
                </c:pt>
                <c:pt idx="2">
                  <c:v>3S</c:v>
                </c:pt>
                <c:pt idx="3">
                  <c:v>4S</c:v>
                </c:pt>
                <c:pt idx="4">
                  <c:v>5S</c:v>
                </c:pt>
              </c:strCache>
            </c:strRef>
          </c:cat>
          <c:val>
            <c:numRef>
              <c:f>'TIPO A Diagrama Radar T1'!$B$18:$F$18</c:f>
              <c:numCache>
                <c:formatCode>General</c:formatCode>
                <c:ptCount val="5"/>
                <c:pt idx="0">
                  <c:v>90</c:v>
                </c:pt>
                <c:pt idx="1">
                  <c:v>80</c:v>
                </c:pt>
                <c:pt idx="2">
                  <c:v>70</c:v>
                </c:pt>
                <c:pt idx="3">
                  <c:v>70</c:v>
                </c:pt>
                <c:pt idx="4">
                  <c:v>70</c:v>
                </c:pt>
              </c:numCache>
            </c:numRef>
          </c:val>
          <c:extLst>
            <c:ext xmlns:c16="http://schemas.microsoft.com/office/drawing/2014/chart" uri="{C3380CC4-5D6E-409C-BE32-E72D297353CC}">
              <c16:uniqueId val="{00000001-86E4-4D7A-A0B9-0A19C8F39AC6}"/>
            </c:ext>
          </c:extLst>
        </c:ser>
        <c:ser>
          <c:idx val="2"/>
          <c:order val="2"/>
          <c:tx>
            <c:strRef>
              <c:f>'TIPO A Diagrama Radar T1'!$A$19</c:f>
              <c:strCache>
                <c:ptCount val="1"/>
                <c:pt idx="0">
                  <c:v>Min</c:v>
                </c:pt>
              </c:strCache>
            </c:strRef>
          </c:tx>
          <c:spPr>
            <a:ln w="28575" cap="rnd">
              <a:solidFill>
                <a:schemeClr val="accent3"/>
              </a:solidFill>
              <a:round/>
            </a:ln>
            <a:effectLst/>
          </c:spPr>
          <c:marker>
            <c:symbol val="none"/>
          </c:marker>
          <c:cat>
            <c:strRef>
              <c:f>'TIPO A Diagrama Radar T1'!$B$16:$F$16</c:f>
              <c:strCache>
                <c:ptCount val="5"/>
                <c:pt idx="0">
                  <c:v>1S</c:v>
                </c:pt>
                <c:pt idx="1">
                  <c:v>2S</c:v>
                </c:pt>
                <c:pt idx="2">
                  <c:v>3S</c:v>
                </c:pt>
                <c:pt idx="3">
                  <c:v>4S</c:v>
                </c:pt>
                <c:pt idx="4">
                  <c:v>5S</c:v>
                </c:pt>
              </c:strCache>
            </c:strRef>
          </c:cat>
          <c:val>
            <c:numRef>
              <c:f>'TIPO A Diagrama Radar T1'!$B$19:$F$19</c:f>
              <c:numCache>
                <c:formatCode>General</c:formatCode>
                <c:ptCount val="5"/>
                <c:pt idx="0">
                  <c:v>80</c:v>
                </c:pt>
                <c:pt idx="1">
                  <c:v>60</c:v>
                </c:pt>
                <c:pt idx="2">
                  <c:v>50</c:v>
                </c:pt>
                <c:pt idx="3">
                  <c:v>50</c:v>
                </c:pt>
                <c:pt idx="4">
                  <c:v>50</c:v>
                </c:pt>
              </c:numCache>
            </c:numRef>
          </c:val>
          <c:extLst>
            <c:ext xmlns:c16="http://schemas.microsoft.com/office/drawing/2014/chart" uri="{C3380CC4-5D6E-409C-BE32-E72D297353CC}">
              <c16:uniqueId val="{00000002-86E4-4D7A-A0B9-0A19C8F39AC6}"/>
            </c:ext>
          </c:extLst>
        </c:ser>
        <c:dLbls>
          <c:showLegendKey val="0"/>
          <c:showVal val="0"/>
          <c:showCatName val="0"/>
          <c:showSerName val="0"/>
          <c:showPercent val="0"/>
          <c:showBubbleSize val="0"/>
        </c:dLbls>
        <c:axId val="398741304"/>
        <c:axId val="398741632"/>
      </c:radarChart>
      <c:radarChart>
        <c:radarStyle val="marker"/>
        <c:varyColors val="0"/>
        <c:ser>
          <c:idx val="3"/>
          <c:order val="3"/>
          <c:tx>
            <c:strRef>
              <c:f>'TIPO A Diagrama Radar T1'!$A$20</c:f>
              <c:strCache>
                <c:ptCount val="1"/>
                <c:pt idx="0">
                  <c:v>Max</c:v>
                </c:pt>
              </c:strCache>
            </c:strRef>
          </c:tx>
          <c:spPr>
            <a:ln w="28575" cap="rnd">
              <a:solidFill>
                <a:schemeClr val="accent4"/>
              </a:solidFill>
              <a:round/>
            </a:ln>
            <a:effectLst/>
          </c:spPr>
          <c:marker>
            <c:symbol val="none"/>
          </c:marker>
          <c:cat>
            <c:strRef>
              <c:f>'TIPO A Diagrama Radar T1'!$B$16:$F$16</c:f>
              <c:strCache>
                <c:ptCount val="5"/>
                <c:pt idx="0">
                  <c:v>1S</c:v>
                </c:pt>
                <c:pt idx="1">
                  <c:v>2S</c:v>
                </c:pt>
                <c:pt idx="2">
                  <c:v>3S</c:v>
                </c:pt>
                <c:pt idx="3">
                  <c:v>4S</c:v>
                </c:pt>
                <c:pt idx="4">
                  <c:v>5S</c:v>
                </c:pt>
              </c:strCache>
            </c:strRef>
          </c:cat>
          <c:val>
            <c:numRef>
              <c:f>'TIPO A Diagrama Radar T1'!$B$20:$F$20</c:f>
              <c:numCache>
                <c:formatCode>General</c:formatCode>
                <c:ptCount val="5"/>
                <c:pt idx="0">
                  <c:v>100</c:v>
                </c:pt>
                <c:pt idx="1">
                  <c:v>100</c:v>
                </c:pt>
                <c:pt idx="2">
                  <c:v>100</c:v>
                </c:pt>
                <c:pt idx="3">
                  <c:v>100</c:v>
                </c:pt>
                <c:pt idx="4">
                  <c:v>100</c:v>
                </c:pt>
              </c:numCache>
            </c:numRef>
          </c:val>
          <c:extLst>
            <c:ext xmlns:c16="http://schemas.microsoft.com/office/drawing/2014/chart" uri="{C3380CC4-5D6E-409C-BE32-E72D297353CC}">
              <c16:uniqueId val="{00000003-86E4-4D7A-A0B9-0A19C8F39AC6}"/>
            </c:ext>
          </c:extLst>
        </c:ser>
        <c:dLbls>
          <c:showLegendKey val="0"/>
          <c:showVal val="0"/>
          <c:showCatName val="0"/>
          <c:showSerName val="0"/>
          <c:showPercent val="0"/>
          <c:showBubbleSize val="0"/>
        </c:dLbls>
        <c:axId val="398749832"/>
        <c:axId val="398750816"/>
      </c:radarChart>
      <c:catAx>
        <c:axId val="398741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8741632"/>
        <c:crosses val="autoZero"/>
        <c:auto val="1"/>
        <c:lblAlgn val="ctr"/>
        <c:lblOffset val="100"/>
        <c:noMultiLvlLbl val="0"/>
      </c:catAx>
      <c:valAx>
        <c:axId val="398741632"/>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398741304"/>
        <c:crosses val="autoZero"/>
        <c:crossBetween val="between"/>
      </c:valAx>
      <c:valAx>
        <c:axId val="398750816"/>
        <c:scaling>
          <c:orientation val="minMax"/>
        </c:scaling>
        <c:delete val="1"/>
        <c:axPos val="l"/>
        <c:numFmt formatCode="General" sourceLinked="1"/>
        <c:majorTickMark val="out"/>
        <c:minorTickMark val="none"/>
        <c:tickLblPos val="nextTo"/>
        <c:crossAx val="398749832"/>
        <c:crosses val="max"/>
        <c:crossBetween val="between"/>
      </c:valAx>
      <c:catAx>
        <c:axId val="398749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8750816"/>
        <c:crosses val="max"/>
        <c:auto val="1"/>
        <c:lblAlgn val="ctr"/>
        <c:lblOffset val="100"/>
        <c:noMultiLvlLbl val="0"/>
      </c:catAx>
      <c:spPr>
        <a:noFill/>
        <a:ln>
          <a:noFill/>
        </a:ln>
        <a:effectLst/>
      </c:spPr>
    </c:plotArea>
    <c:legend>
      <c:legendPos val="r"/>
      <c:layout>
        <c:manualLayout>
          <c:xMode val="edge"/>
          <c:yMode val="edge"/>
          <c:x val="0.65661897896565757"/>
          <c:y val="0.26988298337707789"/>
          <c:w val="0.24948430741931907"/>
          <c:h val="0.25542078212290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AUDIT. 5S. T3</a:t>
            </a:r>
          </a:p>
        </c:rich>
      </c:tx>
      <c:layout>
        <c:manualLayout>
          <c:xMode val="edge"/>
          <c:yMode val="edge"/>
          <c:x val="0.61028161620642496"/>
          <c:y val="0.1812189199255121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744959656319631"/>
          <c:y val="0.14015419947506561"/>
          <c:w val="0.33799803031831044"/>
          <c:h val="0.61966311173128674"/>
        </c:manualLayout>
      </c:layout>
      <c:radarChart>
        <c:radarStyle val="filled"/>
        <c:varyColors val="0"/>
        <c:ser>
          <c:idx val="0"/>
          <c:order val="0"/>
          <c:tx>
            <c:strRef>
              <c:f>'TIPO A Diagrama Radar T1'!$A$27</c:f>
              <c:strCache>
                <c:ptCount val="1"/>
                <c:pt idx="0">
                  <c:v>AUDIT. T3</c:v>
                </c:pt>
              </c:strCache>
            </c:strRef>
          </c:tx>
          <c:spPr>
            <a:solidFill>
              <a:schemeClr val="accent1"/>
            </a:solidFill>
            <a:ln>
              <a:noFill/>
            </a:ln>
            <a:effectLst/>
          </c:spPr>
          <c:cat>
            <c:strRef>
              <c:f>'TIPO A Diagrama Radar T1'!$B$26:$F$26</c:f>
              <c:strCache>
                <c:ptCount val="5"/>
                <c:pt idx="0">
                  <c:v>1S</c:v>
                </c:pt>
                <c:pt idx="1">
                  <c:v>2S</c:v>
                </c:pt>
                <c:pt idx="2">
                  <c:v>3S</c:v>
                </c:pt>
                <c:pt idx="3">
                  <c:v>4S</c:v>
                </c:pt>
                <c:pt idx="4">
                  <c:v>5S</c:v>
                </c:pt>
              </c:strCache>
            </c:strRef>
          </c:cat>
          <c:val>
            <c:numRef>
              <c:f>'TIPO A Diagrama Radar T1'!$B$27:$F$27</c:f>
              <c:numCache>
                <c:formatCode>0.0</c:formatCode>
                <c:ptCount val="5"/>
                <c:pt idx="0">
                  <c:v>90</c:v>
                </c:pt>
                <c:pt idx="1">
                  <c:v>90</c:v>
                </c:pt>
                <c:pt idx="2">
                  <c:v>90</c:v>
                </c:pt>
                <c:pt idx="3">
                  <c:v>90</c:v>
                </c:pt>
                <c:pt idx="4">
                  <c:v>90</c:v>
                </c:pt>
              </c:numCache>
            </c:numRef>
          </c:val>
          <c:extLst>
            <c:ext xmlns:c16="http://schemas.microsoft.com/office/drawing/2014/chart" uri="{C3380CC4-5D6E-409C-BE32-E72D297353CC}">
              <c16:uniqueId val="{00000000-47A9-4B52-AF73-4EAEFDFC7693}"/>
            </c:ext>
          </c:extLst>
        </c:ser>
        <c:dLbls>
          <c:showLegendKey val="0"/>
          <c:showVal val="0"/>
          <c:showCatName val="0"/>
          <c:showSerName val="0"/>
          <c:showPercent val="0"/>
          <c:showBubbleSize val="0"/>
        </c:dLbls>
        <c:axId val="398741304"/>
        <c:axId val="398741632"/>
      </c:radarChart>
      <c:radarChart>
        <c:radarStyle val="marker"/>
        <c:varyColors val="0"/>
        <c:ser>
          <c:idx val="1"/>
          <c:order val="1"/>
          <c:tx>
            <c:strRef>
              <c:f>'TIPO A Diagrama Radar T1'!$A$28</c:f>
              <c:strCache>
                <c:ptCount val="1"/>
                <c:pt idx="0">
                  <c:v>Objetivo</c:v>
                </c:pt>
              </c:strCache>
            </c:strRef>
          </c:tx>
          <c:spPr>
            <a:ln w="28575" cap="rnd">
              <a:solidFill>
                <a:schemeClr val="accent2"/>
              </a:solidFill>
              <a:round/>
            </a:ln>
            <a:effectLst/>
          </c:spPr>
          <c:marker>
            <c:symbol val="none"/>
          </c:marker>
          <c:cat>
            <c:strRef>
              <c:f>'TIPO A Diagrama Radar T1'!$B$26:$F$26</c:f>
              <c:strCache>
                <c:ptCount val="5"/>
                <c:pt idx="0">
                  <c:v>1S</c:v>
                </c:pt>
                <c:pt idx="1">
                  <c:v>2S</c:v>
                </c:pt>
                <c:pt idx="2">
                  <c:v>3S</c:v>
                </c:pt>
                <c:pt idx="3">
                  <c:v>4S</c:v>
                </c:pt>
                <c:pt idx="4">
                  <c:v>5S</c:v>
                </c:pt>
              </c:strCache>
            </c:strRef>
          </c:cat>
          <c:val>
            <c:numRef>
              <c:f>'TIPO A Diagrama Radar T1'!$B$28:$F$28</c:f>
              <c:numCache>
                <c:formatCode>General</c:formatCode>
                <c:ptCount val="5"/>
                <c:pt idx="0">
                  <c:v>90</c:v>
                </c:pt>
                <c:pt idx="1">
                  <c:v>80</c:v>
                </c:pt>
                <c:pt idx="2">
                  <c:v>70</c:v>
                </c:pt>
                <c:pt idx="3">
                  <c:v>70</c:v>
                </c:pt>
                <c:pt idx="4">
                  <c:v>70</c:v>
                </c:pt>
              </c:numCache>
            </c:numRef>
          </c:val>
          <c:extLst>
            <c:ext xmlns:c16="http://schemas.microsoft.com/office/drawing/2014/chart" uri="{C3380CC4-5D6E-409C-BE32-E72D297353CC}">
              <c16:uniqueId val="{00000001-47A9-4B52-AF73-4EAEFDFC7693}"/>
            </c:ext>
          </c:extLst>
        </c:ser>
        <c:ser>
          <c:idx val="2"/>
          <c:order val="2"/>
          <c:tx>
            <c:strRef>
              <c:f>'TIPO A Diagrama Radar T1'!$A$29</c:f>
              <c:strCache>
                <c:ptCount val="1"/>
                <c:pt idx="0">
                  <c:v>Min</c:v>
                </c:pt>
              </c:strCache>
            </c:strRef>
          </c:tx>
          <c:spPr>
            <a:ln w="28575" cap="rnd">
              <a:solidFill>
                <a:schemeClr val="accent3"/>
              </a:solidFill>
              <a:round/>
            </a:ln>
            <a:effectLst/>
          </c:spPr>
          <c:marker>
            <c:symbol val="none"/>
          </c:marker>
          <c:cat>
            <c:strRef>
              <c:f>'TIPO A Diagrama Radar T1'!$B$26:$F$26</c:f>
              <c:strCache>
                <c:ptCount val="5"/>
                <c:pt idx="0">
                  <c:v>1S</c:v>
                </c:pt>
                <c:pt idx="1">
                  <c:v>2S</c:v>
                </c:pt>
                <c:pt idx="2">
                  <c:v>3S</c:v>
                </c:pt>
                <c:pt idx="3">
                  <c:v>4S</c:v>
                </c:pt>
                <c:pt idx="4">
                  <c:v>5S</c:v>
                </c:pt>
              </c:strCache>
            </c:strRef>
          </c:cat>
          <c:val>
            <c:numRef>
              <c:f>'TIPO A Diagrama Radar T1'!$B$29:$F$29</c:f>
              <c:numCache>
                <c:formatCode>General</c:formatCode>
                <c:ptCount val="5"/>
                <c:pt idx="0">
                  <c:v>80</c:v>
                </c:pt>
                <c:pt idx="1">
                  <c:v>60</c:v>
                </c:pt>
                <c:pt idx="2">
                  <c:v>50</c:v>
                </c:pt>
                <c:pt idx="3">
                  <c:v>50</c:v>
                </c:pt>
                <c:pt idx="4">
                  <c:v>50</c:v>
                </c:pt>
              </c:numCache>
            </c:numRef>
          </c:val>
          <c:extLst>
            <c:ext xmlns:c16="http://schemas.microsoft.com/office/drawing/2014/chart" uri="{C3380CC4-5D6E-409C-BE32-E72D297353CC}">
              <c16:uniqueId val="{00000002-47A9-4B52-AF73-4EAEFDFC7693}"/>
            </c:ext>
          </c:extLst>
        </c:ser>
        <c:dLbls>
          <c:showLegendKey val="0"/>
          <c:showVal val="0"/>
          <c:showCatName val="0"/>
          <c:showSerName val="0"/>
          <c:showPercent val="0"/>
          <c:showBubbleSize val="0"/>
        </c:dLbls>
        <c:axId val="398741304"/>
        <c:axId val="398741632"/>
      </c:radarChart>
      <c:radarChart>
        <c:radarStyle val="marker"/>
        <c:varyColors val="0"/>
        <c:ser>
          <c:idx val="3"/>
          <c:order val="3"/>
          <c:tx>
            <c:strRef>
              <c:f>'TIPO A Diagrama Radar T1'!$A$30</c:f>
              <c:strCache>
                <c:ptCount val="1"/>
                <c:pt idx="0">
                  <c:v>Max</c:v>
                </c:pt>
              </c:strCache>
            </c:strRef>
          </c:tx>
          <c:spPr>
            <a:ln w="28575" cap="rnd">
              <a:solidFill>
                <a:schemeClr val="accent4"/>
              </a:solidFill>
              <a:round/>
            </a:ln>
            <a:effectLst/>
          </c:spPr>
          <c:marker>
            <c:symbol val="none"/>
          </c:marker>
          <c:cat>
            <c:strRef>
              <c:f>'TIPO A Diagrama Radar T1'!$B$26:$F$26</c:f>
              <c:strCache>
                <c:ptCount val="5"/>
                <c:pt idx="0">
                  <c:v>1S</c:v>
                </c:pt>
                <c:pt idx="1">
                  <c:v>2S</c:v>
                </c:pt>
                <c:pt idx="2">
                  <c:v>3S</c:v>
                </c:pt>
                <c:pt idx="3">
                  <c:v>4S</c:v>
                </c:pt>
                <c:pt idx="4">
                  <c:v>5S</c:v>
                </c:pt>
              </c:strCache>
            </c:strRef>
          </c:cat>
          <c:val>
            <c:numRef>
              <c:f>'TIPO A Diagrama Radar T1'!$B$30:$F$30</c:f>
              <c:numCache>
                <c:formatCode>General</c:formatCode>
                <c:ptCount val="5"/>
                <c:pt idx="0">
                  <c:v>100</c:v>
                </c:pt>
                <c:pt idx="1">
                  <c:v>100</c:v>
                </c:pt>
                <c:pt idx="2">
                  <c:v>100</c:v>
                </c:pt>
                <c:pt idx="3">
                  <c:v>100</c:v>
                </c:pt>
                <c:pt idx="4">
                  <c:v>100</c:v>
                </c:pt>
              </c:numCache>
            </c:numRef>
          </c:val>
          <c:extLst>
            <c:ext xmlns:c16="http://schemas.microsoft.com/office/drawing/2014/chart" uri="{C3380CC4-5D6E-409C-BE32-E72D297353CC}">
              <c16:uniqueId val="{00000003-47A9-4B52-AF73-4EAEFDFC7693}"/>
            </c:ext>
          </c:extLst>
        </c:ser>
        <c:dLbls>
          <c:showLegendKey val="0"/>
          <c:showVal val="0"/>
          <c:showCatName val="0"/>
          <c:showSerName val="0"/>
          <c:showPercent val="0"/>
          <c:showBubbleSize val="0"/>
        </c:dLbls>
        <c:axId val="398749832"/>
        <c:axId val="398750816"/>
      </c:radarChart>
      <c:catAx>
        <c:axId val="398741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8741632"/>
        <c:crosses val="autoZero"/>
        <c:auto val="1"/>
        <c:lblAlgn val="ctr"/>
        <c:lblOffset val="100"/>
        <c:noMultiLvlLbl val="0"/>
      </c:catAx>
      <c:valAx>
        <c:axId val="398741632"/>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398741304"/>
        <c:crosses val="autoZero"/>
        <c:crossBetween val="between"/>
      </c:valAx>
      <c:valAx>
        <c:axId val="398750816"/>
        <c:scaling>
          <c:orientation val="minMax"/>
        </c:scaling>
        <c:delete val="1"/>
        <c:axPos val="l"/>
        <c:numFmt formatCode="General" sourceLinked="1"/>
        <c:majorTickMark val="out"/>
        <c:minorTickMark val="none"/>
        <c:tickLblPos val="nextTo"/>
        <c:crossAx val="398749832"/>
        <c:crosses val="max"/>
        <c:crossBetween val="between"/>
      </c:valAx>
      <c:catAx>
        <c:axId val="398749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8750816"/>
        <c:crosses val="max"/>
        <c:auto val="1"/>
        <c:lblAlgn val="ctr"/>
        <c:lblOffset val="100"/>
        <c:noMultiLvlLbl val="0"/>
      </c:catAx>
      <c:spPr>
        <a:noFill/>
        <a:ln>
          <a:noFill/>
        </a:ln>
        <a:effectLst/>
      </c:spPr>
    </c:plotArea>
    <c:legend>
      <c:legendPos val="r"/>
      <c:layout>
        <c:manualLayout>
          <c:xMode val="edge"/>
          <c:yMode val="edge"/>
          <c:x val="0.65661897896565757"/>
          <c:y val="0.26988298337707789"/>
          <c:w val="0.24948430741931907"/>
          <c:h val="0.25542078212290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AUDIT. 5S. T4</a:t>
            </a:r>
          </a:p>
        </c:rich>
      </c:tx>
      <c:layout>
        <c:manualLayout>
          <c:xMode val="edge"/>
          <c:yMode val="edge"/>
          <c:x val="0.61028161620642496"/>
          <c:y val="0.1812189199255121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967860707552401"/>
          <c:y val="0.16379777055637096"/>
          <c:w val="0.45917208236294405"/>
          <c:h val="0.67240445888725808"/>
        </c:manualLayout>
      </c:layout>
      <c:radarChart>
        <c:radarStyle val="filled"/>
        <c:varyColors val="0"/>
        <c:ser>
          <c:idx val="0"/>
          <c:order val="0"/>
          <c:tx>
            <c:strRef>
              <c:f>'TIPO A Diagrama Radar T1'!$A$37</c:f>
              <c:strCache>
                <c:ptCount val="1"/>
                <c:pt idx="0">
                  <c:v>AUDIT. T4</c:v>
                </c:pt>
              </c:strCache>
            </c:strRef>
          </c:tx>
          <c:spPr>
            <a:solidFill>
              <a:schemeClr val="accent1"/>
            </a:solidFill>
            <a:ln>
              <a:noFill/>
            </a:ln>
            <a:effectLst/>
          </c:spPr>
          <c:cat>
            <c:strRef>
              <c:f>'TIPO A Diagrama Radar T1'!$B$36:$F$36</c:f>
              <c:strCache>
                <c:ptCount val="5"/>
                <c:pt idx="0">
                  <c:v>1S</c:v>
                </c:pt>
                <c:pt idx="1">
                  <c:v>2S</c:v>
                </c:pt>
                <c:pt idx="2">
                  <c:v>3S</c:v>
                </c:pt>
                <c:pt idx="3">
                  <c:v>4S</c:v>
                </c:pt>
                <c:pt idx="4">
                  <c:v>5S</c:v>
                </c:pt>
              </c:strCache>
            </c:strRef>
          </c:cat>
          <c:val>
            <c:numRef>
              <c:f>'TIPO A Diagrama Radar T1'!$B$37:$F$37</c:f>
              <c:numCache>
                <c:formatCode>0.0</c:formatCode>
                <c:ptCount val="5"/>
                <c:pt idx="0">
                  <c:v>90</c:v>
                </c:pt>
                <c:pt idx="1">
                  <c:v>90</c:v>
                </c:pt>
                <c:pt idx="2">
                  <c:v>90</c:v>
                </c:pt>
                <c:pt idx="3">
                  <c:v>90</c:v>
                </c:pt>
                <c:pt idx="4">
                  <c:v>90</c:v>
                </c:pt>
              </c:numCache>
            </c:numRef>
          </c:val>
          <c:extLst>
            <c:ext xmlns:c16="http://schemas.microsoft.com/office/drawing/2014/chart" uri="{C3380CC4-5D6E-409C-BE32-E72D297353CC}">
              <c16:uniqueId val="{00000000-DB1B-46E7-977B-E546EA7BCF2A}"/>
            </c:ext>
          </c:extLst>
        </c:ser>
        <c:dLbls>
          <c:showLegendKey val="0"/>
          <c:showVal val="0"/>
          <c:showCatName val="0"/>
          <c:showSerName val="0"/>
          <c:showPercent val="0"/>
          <c:showBubbleSize val="0"/>
        </c:dLbls>
        <c:axId val="398741304"/>
        <c:axId val="398741632"/>
      </c:radarChart>
      <c:radarChart>
        <c:radarStyle val="marker"/>
        <c:varyColors val="0"/>
        <c:ser>
          <c:idx val="1"/>
          <c:order val="1"/>
          <c:tx>
            <c:strRef>
              <c:f>'TIPO A Diagrama Radar T1'!$A$38</c:f>
              <c:strCache>
                <c:ptCount val="1"/>
                <c:pt idx="0">
                  <c:v>Objetivo</c:v>
                </c:pt>
              </c:strCache>
            </c:strRef>
          </c:tx>
          <c:spPr>
            <a:ln w="28575" cap="rnd">
              <a:solidFill>
                <a:schemeClr val="accent2"/>
              </a:solidFill>
              <a:round/>
            </a:ln>
            <a:effectLst/>
          </c:spPr>
          <c:marker>
            <c:symbol val="none"/>
          </c:marker>
          <c:cat>
            <c:strRef>
              <c:f>'TIPO A Diagrama Radar T1'!$B$36:$F$36</c:f>
              <c:strCache>
                <c:ptCount val="5"/>
                <c:pt idx="0">
                  <c:v>1S</c:v>
                </c:pt>
                <c:pt idx="1">
                  <c:v>2S</c:v>
                </c:pt>
                <c:pt idx="2">
                  <c:v>3S</c:v>
                </c:pt>
                <c:pt idx="3">
                  <c:v>4S</c:v>
                </c:pt>
                <c:pt idx="4">
                  <c:v>5S</c:v>
                </c:pt>
              </c:strCache>
            </c:strRef>
          </c:cat>
          <c:val>
            <c:numRef>
              <c:f>'TIPO A Diagrama Radar T1'!$B$38:$F$38</c:f>
              <c:numCache>
                <c:formatCode>General</c:formatCode>
                <c:ptCount val="5"/>
                <c:pt idx="0">
                  <c:v>90</c:v>
                </c:pt>
                <c:pt idx="1">
                  <c:v>80</c:v>
                </c:pt>
                <c:pt idx="2">
                  <c:v>70</c:v>
                </c:pt>
                <c:pt idx="3">
                  <c:v>70</c:v>
                </c:pt>
                <c:pt idx="4">
                  <c:v>70</c:v>
                </c:pt>
              </c:numCache>
            </c:numRef>
          </c:val>
          <c:extLst>
            <c:ext xmlns:c16="http://schemas.microsoft.com/office/drawing/2014/chart" uri="{C3380CC4-5D6E-409C-BE32-E72D297353CC}">
              <c16:uniqueId val="{00000001-DB1B-46E7-977B-E546EA7BCF2A}"/>
            </c:ext>
          </c:extLst>
        </c:ser>
        <c:ser>
          <c:idx val="2"/>
          <c:order val="2"/>
          <c:tx>
            <c:strRef>
              <c:f>'TIPO A Diagrama Radar T1'!$A$39</c:f>
              <c:strCache>
                <c:ptCount val="1"/>
                <c:pt idx="0">
                  <c:v>Min</c:v>
                </c:pt>
              </c:strCache>
            </c:strRef>
          </c:tx>
          <c:spPr>
            <a:ln w="28575" cap="rnd">
              <a:solidFill>
                <a:schemeClr val="accent3"/>
              </a:solidFill>
              <a:round/>
            </a:ln>
            <a:effectLst/>
          </c:spPr>
          <c:marker>
            <c:symbol val="none"/>
          </c:marker>
          <c:cat>
            <c:strRef>
              <c:f>'TIPO A Diagrama Radar T1'!$B$36:$F$36</c:f>
              <c:strCache>
                <c:ptCount val="5"/>
                <c:pt idx="0">
                  <c:v>1S</c:v>
                </c:pt>
                <c:pt idx="1">
                  <c:v>2S</c:v>
                </c:pt>
                <c:pt idx="2">
                  <c:v>3S</c:v>
                </c:pt>
                <c:pt idx="3">
                  <c:v>4S</c:v>
                </c:pt>
                <c:pt idx="4">
                  <c:v>5S</c:v>
                </c:pt>
              </c:strCache>
            </c:strRef>
          </c:cat>
          <c:val>
            <c:numRef>
              <c:f>'TIPO A Diagrama Radar T1'!$B$39:$F$39</c:f>
              <c:numCache>
                <c:formatCode>General</c:formatCode>
                <c:ptCount val="5"/>
                <c:pt idx="0">
                  <c:v>80</c:v>
                </c:pt>
                <c:pt idx="1">
                  <c:v>60</c:v>
                </c:pt>
                <c:pt idx="2">
                  <c:v>50</c:v>
                </c:pt>
                <c:pt idx="3">
                  <c:v>50</c:v>
                </c:pt>
                <c:pt idx="4">
                  <c:v>50</c:v>
                </c:pt>
              </c:numCache>
            </c:numRef>
          </c:val>
          <c:extLst>
            <c:ext xmlns:c16="http://schemas.microsoft.com/office/drawing/2014/chart" uri="{C3380CC4-5D6E-409C-BE32-E72D297353CC}">
              <c16:uniqueId val="{00000002-DB1B-46E7-977B-E546EA7BCF2A}"/>
            </c:ext>
          </c:extLst>
        </c:ser>
        <c:dLbls>
          <c:showLegendKey val="0"/>
          <c:showVal val="0"/>
          <c:showCatName val="0"/>
          <c:showSerName val="0"/>
          <c:showPercent val="0"/>
          <c:showBubbleSize val="0"/>
        </c:dLbls>
        <c:axId val="398741304"/>
        <c:axId val="398741632"/>
      </c:radarChart>
      <c:radarChart>
        <c:radarStyle val="marker"/>
        <c:varyColors val="0"/>
        <c:ser>
          <c:idx val="3"/>
          <c:order val="3"/>
          <c:tx>
            <c:strRef>
              <c:f>'TIPO A Diagrama Radar T1'!$A$40</c:f>
              <c:strCache>
                <c:ptCount val="1"/>
                <c:pt idx="0">
                  <c:v>Max</c:v>
                </c:pt>
              </c:strCache>
            </c:strRef>
          </c:tx>
          <c:spPr>
            <a:ln w="28575" cap="rnd">
              <a:solidFill>
                <a:schemeClr val="accent4"/>
              </a:solidFill>
              <a:round/>
            </a:ln>
            <a:effectLst/>
          </c:spPr>
          <c:marker>
            <c:symbol val="none"/>
          </c:marker>
          <c:cat>
            <c:strRef>
              <c:f>'TIPO A Diagrama Radar T1'!$B$36:$F$36</c:f>
              <c:strCache>
                <c:ptCount val="5"/>
                <c:pt idx="0">
                  <c:v>1S</c:v>
                </c:pt>
                <c:pt idx="1">
                  <c:v>2S</c:v>
                </c:pt>
                <c:pt idx="2">
                  <c:v>3S</c:v>
                </c:pt>
                <c:pt idx="3">
                  <c:v>4S</c:v>
                </c:pt>
                <c:pt idx="4">
                  <c:v>5S</c:v>
                </c:pt>
              </c:strCache>
            </c:strRef>
          </c:cat>
          <c:val>
            <c:numRef>
              <c:f>'TIPO A Diagrama Radar T1'!$B$40:$F$40</c:f>
              <c:numCache>
                <c:formatCode>General</c:formatCode>
                <c:ptCount val="5"/>
                <c:pt idx="0">
                  <c:v>100</c:v>
                </c:pt>
                <c:pt idx="1">
                  <c:v>100</c:v>
                </c:pt>
                <c:pt idx="2">
                  <c:v>100</c:v>
                </c:pt>
                <c:pt idx="3">
                  <c:v>100</c:v>
                </c:pt>
                <c:pt idx="4">
                  <c:v>100</c:v>
                </c:pt>
              </c:numCache>
            </c:numRef>
          </c:val>
          <c:extLst>
            <c:ext xmlns:c16="http://schemas.microsoft.com/office/drawing/2014/chart" uri="{C3380CC4-5D6E-409C-BE32-E72D297353CC}">
              <c16:uniqueId val="{00000003-DB1B-46E7-977B-E546EA7BCF2A}"/>
            </c:ext>
          </c:extLst>
        </c:ser>
        <c:dLbls>
          <c:showLegendKey val="0"/>
          <c:showVal val="0"/>
          <c:showCatName val="0"/>
          <c:showSerName val="0"/>
          <c:showPercent val="0"/>
          <c:showBubbleSize val="0"/>
        </c:dLbls>
        <c:axId val="398749832"/>
        <c:axId val="398750816"/>
      </c:radarChart>
      <c:catAx>
        <c:axId val="398741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8741632"/>
        <c:crosses val="autoZero"/>
        <c:auto val="1"/>
        <c:lblAlgn val="ctr"/>
        <c:lblOffset val="100"/>
        <c:noMultiLvlLbl val="0"/>
      </c:catAx>
      <c:valAx>
        <c:axId val="398741632"/>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398741304"/>
        <c:crosses val="autoZero"/>
        <c:crossBetween val="between"/>
      </c:valAx>
      <c:valAx>
        <c:axId val="398750816"/>
        <c:scaling>
          <c:orientation val="minMax"/>
        </c:scaling>
        <c:delete val="1"/>
        <c:axPos val="l"/>
        <c:numFmt formatCode="General" sourceLinked="1"/>
        <c:majorTickMark val="out"/>
        <c:minorTickMark val="none"/>
        <c:tickLblPos val="nextTo"/>
        <c:crossAx val="398749832"/>
        <c:crosses val="max"/>
        <c:crossBetween val="between"/>
      </c:valAx>
      <c:catAx>
        <c:axId val="398749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8750816"/>
        <c:crosses val="max"/>
        <c:auto val="1"/>
        <c:lblAlgn val="ctr"/>
        <c:lblOffset val="100"/>
        <c:noMultiLvlLbl val="0"/>
      </c:catAx>
      <c:spPr>
        <a:noFill/>
        <a:ln>
          <a:noFill/>
        </a:ln>
        <a:effectLst/>
      </c:spPr>
    </c:plotArea>
    <c:legend>
      <c:legendPos val="r"/>
      <c:layout>
        <c:manualLayout>
          <c:xMode val="edge"/>
          <c:yMode val="edge"/>
          <c:x val="0.65661897896565757"/>
          <c:y val="0.26988298337707789"/>
          <c:w val="0.24948430741931907"/>
          <c:h val="0.25542078212290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AUDIT. 5S. ANUAL</a:t>
            </a:r>
          </a:p>
        </c:rich>
      </c:tx>
      <c:layout>
        <c:manualLayout>
          <c:xMode val="edge"/>
          <c:yMode val="edge"/>
          <c:x val="0.56375586854460091"/>
          <c:y val="3.1658742427176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944867102879746"/>
          <c:y val="0.14015419947506561"/>
          <c:w val="0.50894828287309146"/>
          <c:h val="0.69732088789509772"/>
        </c:manualLayout>
      </c:layout>
      <c:radarChart>
        <c:radarStyle val="filled"/>
        <c:varyColors val="0"/>
        <c:ser>
          <c:idx val="0"/>
          <c:order val="0"/>
          <c:tx>
            <c:strRef>
              <c:f>'TIPO A Diagrama Radar T1'!$E$46</c:f>
              <c:strCache>
                <c:ptCount val="1"/>
                <c:pt idx="0">
                  <c:v>AUDIT. ANUAL</c:v>
                </c:pt>
              </c:strCache>
            </c:strRef>
          </c:tx>
          <c:spPr>
            <a:solidFill>
              <a:schemeClr val="accent1"/>
            </a:solidFill>
            <a:ln>
              <a:noFill/>
            </a:ln>
            <a:effectLst/>
          </c:spPr>
          <c:cat>
            <c:strRef>
              <c:f>'TIPO A Diagrama Radar T1'!$F$45:$J$45</c:f>
              <c:strCache>
                <c:ptCount val="5"/>
                <c:pt idx="0">
                  <c:v>1S</c:v>
                </c:pt>
                <c:pt idx="1">
                  <c:v>2S</c:v>
                </c:pt>
                <c:pt idx="2">
                  <c:v>3S</c:v>
                </c:pt>
                <c:pt idx="3">
                  <c:v>4S</c:v>
                </c:pt>
                <c:pt idx="4">
                  <c:v>5S</c:v>
                </c:pt>
              </c:strCache>
            </c:strRef>
          </c:cat>
          <c:val>
            <c:numRef>
              <c:f>'TIPO A Diagrama Radar T1'!$F$46:$J$46</c:f>
              <c:numCache>
                <c:formatCode>0.0</c:formatCode>
                <c:ptCount val="5"/>
                <c:pt idx="0">
                  <c:v>90</c:v>
                </c:pt>
                <c:pt idx="1">
                  <c:v>82</c:v>
                </c:pt>
                <c:pt idx="2">
                  <c:v>76.25</c:v>
                </c:pt>
                <c:pt idx="3">
                  <c:v>76.25</c:v>
                </c:pt>
                <c:pt idx="4">
                  <c:v>76</c:v>
                </c:pt>
              </c:numCache>
            </c:numRef>
          </c:val>
          <c:extLst>
            <c:ext xmlns:c16="http://schemas.microsoft.com/office/drawing/2014/chart" uri="{C3380CC4-5D6E-409C-BE32-E72D297353CC}">
              <c16:uniqueId val="{00000000-8415-49EC-8F4C-8629B4C0CB46}"/>
            </c:ext>
          </c:extLst>
        </c:ser>
        <c:dLbls>
          <c:showLegendKey val="0"/>
          <c:showVal val="0"/>
          <c:showCatName val="0"/>
          <c:showSerName val="0"/>
          <c:showPercent val="0"/>
          <c:showBubbleSize val="0"/>
        </c:dLbls>
        <c:axId val="398741304"/>
        <c:axId val="398741632"/>
      </c:radarChart>
      <c:radarChart>
        <c:radarStyle val="marker"/>
        <c:varyColors val="0"/>
        <c:ser>
          <c:idx val="1"/>
          <c:order val="1"/>
          <c:tx>
            <c:strRef>
              <c:f>'TIPO A Diagrama Radar T1'!$E$47</c:f>
              <c:strCache>
                <c:ptCount val="1"/>
                <c:pt idx="0">
                  <c:v>Objetivo</c:v>
                </c:pt>
              </c:strCache>
            </c:strRef>
          </c:tx>
          <c:spPr>
            <a:ln w="28575" cap="rnd">
              <a:solidFill>
                <a:schemeClr val="accent2"/>
              </a:solidFill>
              <a:round/>
            </a:ln>
            <a:effectLst/>
          </c:spPr>
          <c:marker>
            <c:symbol val="none"/>
          </c:marker>
          <c:cat>
            <c:strRef>
              <c:f>'TIPO A Diagrama Radar T1'!$F$45:$J$45</c:f>
              <c:strCache>
                <c:ptCount val="5"/>
                <c:pt idx="0">
                  <c:v>1S</c:v>
                </c:pt>
                <c:pt idx="1">
                  <c:v>2S</c:v>
                </c:pt>
                <c:pt idx="2">
                  <c:v>3S</c:v>
                </c:pt>
                <c:pt idx="3">
                  <c:v>4S</c:v>
                </c:pt>
                <c:pt idx="4">
                  <c:v>5S</c:v>
                </c:pt>
              </c:strCache>
            </c:strRef>
          </c:cat>
          <c:val>
            <c:numRef>
              <c:f>'TIPO A Diagrama Radar T1'!$F$47:$J$47</c:f>
              <c:numCache>
                <c:formatCode>General</c:formatCode>
                <c:ptCount val="5"/>
                <c:pt idx="0">
                  <c:v>90</c:v>
                </c:pt>
                <c:pt idx="1">
                  <c:v>80</c:v>
                </c:pt>
                <c:pt idx="2">
                  <c:v>70</c:v>
                </c:pt>
                <c:pt idx="3">
                  <c:v>70</c:v>
                </c:pt>
                <c:pt idx="4">
                  <c:v>70</c:v>
                </c:pt>
              </c:numCache>
            </c:numRef>
          </c:val>
          <c:extLst>
            <c:ext xmlns:c16="http://schemas.microsoft.com/office/drawing/2014/chart" uri="{C3380CC4-5D6E-409C-BE32-E72D297353CC}">
              <c16:uniqueId val="{00000001-8415-49EC-8F4C-8629B4C0CB46}"/>
            </c:ext>
          </c:extLst>
        </c:ser>
        <c:ser>
          <c:idx val="2"/>
          <c:order val="2"/>
          <c:tx>
            <c:strRef>
              <c:f>'TIPO A Diagrama Radar T1'!$E$48</c:f>
              <c:strCache>
                <c:ptCount val="1"/>
                <c:pt idx="0">
                  <c:v>Min</c:v>
                </c:pt>
              </c:strCache>
            </c:strRef>
          </c:tx>
          <c:spPr>
            <a:ln w="28575" cap="rnd">
              <a:solidFill>
                <a:schemeClr val="accent3"/>
              </a:solidFill>
              <a:round/>
            </a:ln>
            <a:effectLst/>
          </c:spPr>
          <c:marker>
            <c:symbol val="none"/>
          </c:marker>
          <c:cat>
            <c:strRef>
              <c:f>'TIPO A Diagrama Radar T1'!$F$45:$J$45</c:f>
              <c:strCache>
                <c:ptCount val="5"/>
                <c:pt idx="0">
                  <c:v>1S</c:v>
                </c:pt>
                <c:pt idx="1">
                  <c:v>2S</c:v>
                </c:pt>
                <c:pt idx="2">
                  <c:v>3S</c:v>
                </c:pt>
                <c:pt idx="3">
                  <c:v>4S</c:v>
                </c:pt>
                <c:pt idx="4">
                  <c:v>5S</c:v>
                </c:pt>
              </c:strCache>
            </c:strRef>
          </c:cat>
          <c:val>
            <c:numRef>
              <c:f>'TIPO A Diagrama Radar T1'!$F$48:$J$48</c:f>
              <c:numCache>
                <c:formatCode>General</c:formatCode>
                <c:ptCount val="5"/>
                <c:pt idx="0">
                  <c:v>80</c:v>
                </c:pt>
                <c:pt idx="1">
                  <c:v>60</c:v>
                </c:pt>
                <c:pt idx="2">
                  <c:v>50</c:v>
                </c:pt>
                <c:pt idx="3">
                  <c:v>50</c:v>
                </c:pt>
                <c:pt idx="4">
                  <c:v>50</c:v>
                </c:pt>
              </c:numCache>
            </c:numRef>
          </c:val>
          <c:extLst>
            <c:ext xmlns:c16="http://schemas.microsoft.com/office/drawing/2014/chart" uri="{C3380CC4-5D6E-409C-BE32-E72D297353CC}">
              <c16:uniqueId val="{00000002-8415-49EC-8F4C-8629B4C0CB46}"/>
            </c:ext>
          </c:extLst>
        </c:ser>
        <c:dLbls>
          <c:showLegendKey val="0"/>
          <c:showVal val="0"/>
          <c:showCatName val="0"/>
          <c:showSerName val="0"/>
          <c:showPercent val="0"/>
          <c:showBubbleSize val="0"/>
        </c:dLbls>
        <c:axId val="398741304"/>
        <c:axId val="398741632"/>
      </c:radarChart>
      <c:radarChart>
        <c:radarStyle val="marker"/>
        <c:varyColors val="0"/>
        <c:ser>
          <c:idx val="3"/>
          <c:order val="3"/>
          <c:tx>
            <c:strRef>
              <c:f>'TIPO A Diagrama Radar T1'!$E$49</c:f>
              <c:strCache>
                <c:ptCount val="1"/>
                <c:pt idx="0">
                  <c:v>Max</c:v>
                </c:pt>
              </c:strCache>
            </c:strRef>
          </c:tx>
          <c:spPr>
            <a:ln w="28575" cap="rnd">
              <a:solidFill>
                <a:schemeClr val="accent4"/>
              </a:solidFill>
              <a:round/>
            </a:ln>
            <a:effectLst/>
          </c:spPr>
          <c:marker>
            <c:symbol val="none"/>
          </c:marker>
          <c:cat>
            <c:strRef>
              <c:f>'TIPO A Diagrama Radar T1'!$F$45:$J$45</c:f>
              <c:strCache>
                <c:ptCount val="5"/>
                <c:pt idx="0">
                  <c:v>1S</c:v>
                </c:pt>
                <c:pt idx="1">
                  <c:v>2S</c:v>
                </c:pt>
                <c:pt idx="2">
                  <c:v>3S</c:v>
                </c:pt>
                <c:pt idx="3">
                  <c:v>4S</c:v>
                </c:pt>
                <c:pt idx="4">
                  <c:v>5S</c:v>
                </c:pt>
              </c:strCache>
            </c:strRef>
          </c:cat>
          <c:val>
            <c:numRef>
              <c:f>'TIPO A Diagrama Radar T1'!$F$49:$J$49</c:f>
              <c:numCache>
                <c:formatCode>General</c:formatCode>
                <c:ptCount val="5"/>
                <c:pt idx="0">
                  <c:v>100</c:v>
                </c:pt>
                <c:pt idx="1">
                  <c:v>100</c:v>
                </c:pt>
                <c:pt idx="2">
                  <c:v>100</c:v>
                </c:pt>
                <c:pt idx="3">
                  <c:v>100</c:v>
                </c:pt>
                <c:pt idx="4">
                  <c:v>100</c:v>
                </c:pt>
              </c:numCache>
            </c:numRef>
          </c:val>
          <c:extLst>
            <c:ext xmlns:c16="http://schemas.microsoft.com/office/drawing/2014/chart" uri="{C3380CC4-5D6E-409C-BE32-E72D297353CC}">
              <c16:uniqueId val="{00000003-8415-49EC-8F4C-8629B4C0CB46}"/>
            </c:ext>
          </c:extLst>
        </c:ser>
        <c:dLbls>
          <c:showLegendKey val="0"/>
          <c:showVal val="0"/>
          <c:showCatName val="0"/>
          <c:showSerName val="0"/>
          <c:showPercent val="0"/>
          <c:showBubbleSize val="0"/>
        </c:dLbls>
        <c:axId val="398749832"/>
        <c:axId val="398750816"/>
      </c:radarChart>
      <c:catAx>
        <c:axId val="398741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8741632"/>
        <c:crosses val="autoZero"/>
        <c:auto val="1"/>
        <c:lblAlgn val="ctr"/>
        <c:lblOffset val="100"/>
        <c:noMultiLvlLbl val="0"/>
      </c:catAx>
      <c:valAx>
        <c:axId val="398741632"/>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398741304"/>
        <c:crosses val="autoZero"/>
        <c:crossBetween val="between"/>
      </c:valAx>
      <c:valAx>
        <c:axId val="398750816"/>
        <c:scaling>
          <c:orientation val="minMax"/>
        </c:scaling>
        <c:delete val="1"/>
        <c:axPos val="l"/>
        <c:numFmt formatCode="General" sourceLinked="1"/>
        <c:majorTickMark val="out"/>
        <c:minorTickMark val="none"/>
        <c:tickLblPos val="nextTo"/>
        <c:crossAx val="398749832"/>
        <c:crosses val="max"/>
        <c:crossBetween val="between"/>
      </c:valAx>
      <c:catAx>
        <c:axId val="398749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8750816"/>
        <c:crosses val="max"/>
        <c:auto val="1"/>
        <c:lblAlgn val="ctr"/>
        <c:lblOffset val="100"/>
        <c:noMultiLvlLbl val="0"/>
      </c:catAx>
      <c:spPr>
        <a:noFill/>
        <a:ln>
          <a:noFill/>
        </a:ln>
        <a:effectLst/>
      </c:spPr>
    </c:plotArea>
    <c:legend>
      <c:legendPos val="r"/>
      <c:layout>
        <c:manualLayout>
          <c:xMode val="edge"/>
          <c:yMode val="edge"/>
          <c:x val="0.65661897896565757"/>
          <c:y val="0.26988298337707789"/>
          <c:w val="0.24948430741931907"/>
          <c:h val="0.364434545172008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sv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sv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sv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3.sv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sv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3.sv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sv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3.sv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sv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771525</xdr:colOff>
      <xdr:row>4</xdr:row>
      <xdr:rowOff>57150</xdr:rowOff>
    </xdr:from>
    <xdr:to>
      <xdr:col>9</xdr:col>
      <xdr:colOff>123825</xdr:colOff>
      <xdr:row>5</xdr:row>
      <xdr:rowOff>314325</xdr:rowOff>
    </xdr:to>
    <xdr:grpSp>
      <xdr:nvGrpSpPr>
        <xdr:cNvPr id="328959" name="7 Grupo">
          <a:extLst>
            <a:ext uri="{FF2B5EF4-FFF2-40B4-BE49-F238E27FC236}">
              <a16:creationId xmlns:a16="http://schemas.microsoft.com/office/drawing/2014/main" id="{4148E8B2-36C2-4321-BEBD-710422E10016}"/>
            </a:ext>
          </a:extLst>
        </xdr:cNvPr>
        <xdr:cNvGrpSpPr>
          <a:grpSpLocks/>
        </xdr:cNvGrpSpPr>
      </xdr:nvGrpSpPr>
      <xdr:grpSpPr bwMode="auto">
        <a:xfrm>
          <a:off x="1979574" y="1764680"/>
          <a:ext cx="5206690" cy="640499"/>
          <a:chOff x="1206500" y="1714500"/>
          <a:chExt cx="5394165" cy="833438"/>
        </a:xfrm>
      </xdr:grpSpPr>
      <xdr:sp macro="" textlink="">
        <xdr:nvSpPr>
          <xdr:cNvPr id="7" name="6 Rectángulo">
            <a:extLst>
              <a:ext uri="{FF2B5EF4-FFF2-40B4-BE49-F238E27FC236}">
                <a16:creationId xmlns:a16="http://schemas.microsoft.com/office/drawing/2014/main" id="{9832F58D-CE3F-4C12-BE1A-7FE643C8116E}"/>
              </a:ext>
            </a:extLst>
          </xdr:cNvPr>
          <xdr:cNvSpPr/>
        </xdr:nvSpPr>
        <xdr:spPr>
          <a:xfrm>
            <a:off x="1206500" y="1714500"/>
            <a:ext cx="1722589" cy="82099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 sz="1100" b="1"/>
              <a:t>EMPRESA</a:t>
            </a:r>
          </a:p>
          <a:p>
            <a:pPr algn="ctr"/>
            <a:r>
              <a:rPr lang="es-ES" sz="1100" b="1"/>
              <a:t>PIHER AMPHENOL </a:t>
            </a:r>
          </a:p>
        </xdr:txBody>
      </xdr:sp>
      <xdr:sp macro="" textlink="">
        <xdr:nvSpPr>
          <xdr:cNvPr id="9" name="8 Rectángulo">
            <a:extLst>
              <a:ext uri="{FF2B5EF4-FFF2-40B4-BE49-F238E27FC236}">
                <a16:creationId xmlns:a16="http://schemas.microsoft.com/office/drawing/2014/main" id="{836D39FA-3EB7-4B23-B3ED-69CFD07E4E4F}"/>
              </a:ext>
            </a:extLst>
          </xdr:cNvPr>
          <xdr:cNvSpPr/>
        </xdr:nvSpPr>
        <xdr:spPr>
          <a:xfrm>
            <a:off x="3047210" y="1714500"/>
            <a:ext cx="1732433" cy="82099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 sz="1100" b="1"/>
              <a:t>PLANTA</a:t>
            </a:r>
          </a:p>
          <a:p>
            <a:pPr algn="ctr"/>
            <a:r>
              <a:rPr lang="es-ES" sz="1100" b="1"/>
              <a:t>TUDELA</a:t>
            </a:r>
          </a:p>
        </xdr:txBody>
      </xdr:sp>
      <xdr:sp macro="" textlink="">
        <xdr:nvSpPr>
          <xdr:cNvPr id="10" name="9 Rectángulo">
            <a:extLst>
              <a:ext uri="{FF2B5EF4-FFF2-40B4-BE49-F238E27FC236}">
                <a16:creationId xmlns:a16="http://schemas.microsoft.com/office/drawing/2014/main" id="{80E1D599-0AF8-426D-B8E5-FA5ED1B034BD}"/>
              </a:ext>
            </a:extLst>
          </xdr:cNvPr>
          <xdr:cNvSpPr/>
        </xdr:nvSpPr>
        <xdr:spPr>
          <a:xfrm>
            <a:off x="4878076" y="1726939"/>
            <a:ext cx="1722589" cy="82099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 sz="1100" b="1"/>
              <a:t>ZONA</a:t>
            </a:r>
          </a:p>
          <a:p>
            <a:pPr algn="ctr"/>
            <a:r>
              <a:rPr lang="es-ES" sz="1100" b="1"/>
              <a:t>PT6</a:t>
            </a:r>
          </a:p>
        </xdr:txBody>
      </xdr:sp>
    </xdr:grpSp>
    <xdr:clientData/>
  </xdr:twoCellAnchor>
  <xdr:twoCellAnchor>
    <xdr:from>
      <xdr:col>1</xdr:col>
      <xdr:colOff>133350</xdr:colOff>
      <xdr:row>9</xdr:row>
      <xdr:rowOff>142875</xdr:rowOff>
    </xdr:from>
    <xdr:to>
      <xdr:col>10</xdr:col>
      <xdr:colOff>695325</xdr:colOff>
      <xdr:row>11</xdr:row>
      <xdr:rowOff>190500</xdr:rowOff>
    </xdr:to>
    <xdr:grpSp>
      <xdr:nvGrpSpPr>
        <xdr:cNvPr id="328960" name="11 Grupo">
          <a:extLst>
            <a:ext uri="{FF2B5EF4-FFF2-40B4-BE49-F238E27FC236}">
              <a16:creationId xmlns:a16="http://schemas.microsoft.com/office/drawing/2014/main" id="{CCEA3526-D0A0-4B20-AC98-302F11C835A9}"/>
            </a:ext>
          </a:extLst>
        </xdr:cNvPr>
        <xdr:cNvGrpSpPr>
          <a:grpSpLocks/>
        </xdr:cNvGrpSpPr>
      </xdr:nvGrpSpPr>
      <xdr:grpSpPr bwMode="auto">
        <a:xfrm>
          <a:off x="505057" y="3441777"/>
          <a:ext cx="8089048" cy="814272"/>
          <a:chOff x="936559" y="3413170"/>
          <a:chExt cx="9048817" cy="833438"/>
        </a:xfrm>
      </xdr:grpSpPr>
      <xdr:grpSp>
        <xdr:nvGrpSpPr>
          <xdr:cNvPr id="328967" name="13 Grupo">
            <a:extLst>
              <a:ext uri="{FF2B5EF4-FFF2-40B4-BE49-F238E27FC236}">
                <a16:creationId xmlns:a16="http://schemas.microsoft.com/office/drawing/2014/main" id="{43E6DFAC-E311-4E85-9EB7-573CA39212A3}"/>
              </a:ext>
            </a:extLst>
          </xdr:cNvPr>
          <xdr:cNvGrpSpPr>
            <a:grpSpLocks/>
          </xdr:cNvGrpSpPr>
        </xdr:nvGrpSpPr>
        <xdr:grpSpPr bwMode="auto">
          <a:xfrm>
            <a:off x="936559" y="3413170"/>
            <a:ext cx="7215188" cy="833438"/>
            <a:chOff x="1206500" y="1714500"/>
            <a:chExt cx="7215188" cy="833438"/>
          </a:xfrm>
        </xdr:grpSpPr>
        <xdr:sp macro="" textlink="">
          <xdr:nvSpPr>
            <xdr:cNvPr id="15" name="14 Rectángulo">
              <a:extLst>
                <a:ext uri="{FF2B5EF4-FFF2-40B4-BE49-F238E27FC236}">
                  <a16:creationId xmlns:a16="http://schemas.microsoft.com/office/drawing/2014/main" id="{9AB1C8E6-AB2E-4474-865D-18FF43B355F5}"/>
                </a:ext>
              </a:extLst>
            </xdr:cNvPr>
            <xdr:cNvSpPr/>
          </xdr:nvSpPr>
          <xdr:spPr>
            <a:xfrm>
              <a:off x="1206500" y="1714500"/>
              <a:ext cx="1722571" cy="82363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 sz="1100" b="1"/>
                <a:t>AUDITOR</a:t>
              </a:r>
            </a:p>
            <a:p>
              <a:pPr algn="ctr"/>
              <a:r>
                <a:rPr lang="es-ES" sz="1100" b="1"/>
                <a:t>TOÑO PINILLA</a:t>
              </a:r>
            </a:p>
            <a:p>
              <a:pPr algn="ctr"/>
              <a:endParaRPr lang="es-ES" sz="1100" b="1" baseline="0"/>
            </a:p>
          </xdr:txBody>
        </xdr:sp>
        <xdr:sp macro="" textlink="">
          <xdr:nvSpPr>
            <xdr:cNvPr id="16" name="15 Rectángulo">
              <a:extLst>
                <a:ext uri="{FF2B5EF4-FFF2-40B4-BE49-F238E27FC236}">
                  <a16:creationId xmlns:a16="http://schemas.microsoft.com/office/drawing/2014/main" id="{9FEFB281-5958-4220-BB9B-7B5CB0C47204}"/>
                </a:ext>
              </a:extLst>
            </xdr:cNvPr>
            <xdr:cNvSpPr/>
          </xdr:nvSpPr>
          <xdr:spPr>
            <a:xfrm>
              <a:off x="3035403" y="1714500"/>
              <a:ext cx="1743838" cy="82363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 sz="1100" b="1"/>
                <a:t>ASISTENTE</a:t>
              </a:r>
            </a:p>
            <a:p>
              <a:pPr algn="ctr"/>
              <a:endParaRPr lang="es-ES" sz="1100" b="1"/>
            </a:p>
          </xdr:txBody>
        </xdr:sp>
        <xdr:sp macro="" textlink="">
          <xdr:nvSpPr>
            <xdr:cNvPr id="17" name="16 Rectángulo">
              <a:extLst>
                <a:ext uri="{FF2B5EF4-FFF2-40B4-BE49-F238E27FC236}">
                  <a16:creationId xmlns:a16="http://schemas.microsoft.com/office/drawing/2014/main" id="{94211CA5-A177-4F8A-BD54-7EA3C48DD223}"/>
                </a:ext>
              </a:extLst>
            </xdr:cNvPr>
            <xdr:cNvSpPr/>
          </xdr:nvSpPr>
          <xdr:spPr>
            <a:xfrm>
              <a:off x="4874939" y="1724305"/>
              <a:ext cx="1722571" cy="82363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 sz="1100" b="1"/>
                <a:t>ASISTENTE</a:t>
              </a:r>
            </a:p>
          </xdr:txBody>
        </xdr:sp>
        <xdr:sp macro="" textlink="">
          <xdr:nvSpPr>
            <xdr:cNvPr id="18" name="17 Rectángulo">
              <a:extLst>
                <a:ext uri="{FF2B5EF4-FFF2-40B4-BE49-F238E27FC236}">
                  <a16:creationId xmlns:a16="http://schemas.microsoft.com/office/drawing/2014/main" id="{5D287DEC-BC57-4AEB-AB68-4DF5CCE024E8}"/>
                </a:ext>
              </a:extLst>
            </xdr:cNvPr>
            <xdr:cNvSpPr/>
          </xdr:nvSpPr>
          <xdr:spPr>
            <a:xfrm>
              <a:off x="6703842" y="1724305"/>
              <a:ext cx="1722571" cy="82363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 sz="1100" b="1"/>
                <a:t>ASISTENTE</a:t>
              </a:r>
            </a:p>
            <a:p>
              <a:pPr algn="ctr"/>
              <a:endParaRPr lang="es-ES" sz="1100" b="1"/>
            </a:p>
          </xdr:txBody>
        </xdr:sp>
      </xdr:grpSp>
      <xdr:sp macro="" textlink="">
        <xdr:nvSpPr>
          <xdr:cNvPr id="19" name="18 Rectángulo">
            <a:extLst>
              <a:ext uri="{FF2B5EF4-FFF2-40B4-BE49-F238E27FC236}">
                <a16:creationId xmlns:a16="http://schemas.microsoft.com/office/drawing/2014/main" id="{A1B1B17B-6F80-4F6B-A50A-939D8DBCC1EF}"/>
              </a:ext>
            </a:extLst>
          </xdr:cNvPr>
          <xdr:cNvSpPr/>
        </xdr:nvSpPr>
        <xdr:spPr>
          <a:xfrm>
            <a:off x="8262804" y="3422975"/>
            <a:ext cx="1722572" cy="82363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ES" sz="1100" b="1"/>
              <a:t>ASISTENTE</a:t>
            </a:r>
          </a:p>
          <a:p>
            <a:pPr algn="ctr"/>
            <a:endParaRPr lang="es-ES" sz="1100" b="1"/>
          </a:p>
        </xdr:txBody>
      </xdr:sp>
    </xdr:grpSp>
    <xdr:clientData/>
  </xdr:twoCellAnchor>
  <xdr:twoCellAnchor>
    <xdr:from>
      <xdr:col>1</xdr:col>
      <xdr:colOff>109545</xdr:colOff>
      <xdr:row>13</xdr:row>
      <xdr:rowOff>134946</xdr:rowOff>
    </xdr:from>
    <xdr:to>
      <xdr:col>10</xdr:col>
      <xdr:colOff>730238</xdr:colOff>
      <xdr:row>15</xdr:row>
      <xdr:rowOff>238129</xdr:rowOff>
    </xdr:to>
    <xdr:sp macro="" textlink="">
      <xdr:nvSpPr>
        <xdr:cNvPr id="21" name="20 Rectángulo">
          <a:extLst>
            <a:ext uri="{FF2B5EF4-FFF2-40B4-BE49-F238E27FC236}">
              <a16:creationId xmlns:a16="http://schemas.microsoft.com/office/drawing/2014/main" id="{6C6F339F-7B03-4EC4-AD4E-EA4634A23D2A}"/>
            </a:ext>
          </a:extLst>
        </xdr:cNvPr>
        <xdr:cNvSpPr/>
      </xdr:nvSpPr>
      <xdr:spPr>
        <a:xfrm>
          <a:off x="515945" y="4960946"/>
          <a:ext cx="8578836" cy="86518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lang="es-ES" sz="1100" b="1"/>
            <a:t>TIPO DE AUDITORIA                      TIPO</a:t>
          </a:r>
          <a:r>
            <a:rPr lang="es-ES" sz="1100" b="1" baseline="0"/>
            <a:t> I (Inicial) </a:t>
          </a:r>
          <a:r>
            <a:rPr lang="es-ES" sz="2800" b="1" baseline="0">
              <a:sym typeface="Wingdings 2"/>
            </a:rPr>
            <a:t></a:t>
          </a:r>
          <a:r>
            <a:rPr lang="es-ES" sz="1100" b="1" baseline="0"/>
            <a:t>                               TIPO II (Interna) </a:t>
          </a:r>
          <a:r>
            <a:rPr lang="es-ES" sz="2800" b="1" baseline="0">
              <a:solidFill>
                <a:schemeClr val="dk1"/>
              </a:solidFill>
              <a:effectLst/>
              <a:latin typeface="+mn-lt"/>
              <a:ea typeface="+mn-ea"/>
              <a:cs typeface="+mn-cs"/>
              <a:sym typeface="Wingdings 2"/>
            </a:rPr>
            <a:t></a:t>
          </a:r>
          <a:r>
            <a:rPr lang="es-ES" sz="2800" b="1" baseline="0"/>
            <a:t>   </a:t>
          </a:r>
          <a:r>
            <a:rPr lang="es-ES" sz="1100" b="1" baseline="0"/>
            <a:t>                                   TIPO III ( Externa)</a:t>
          </a:r>
          <a:r>
            <a:rPr lang="es-ES" sz="2800" b="1" baseline="0">
              <a:solidFill>
                <a:schemeClr val="dk1"/>
              </a:solidFill>
              <a:effectLst/>
              <a:latin typeface="+mn-lt"/>
              <a:ea typeface="+mn-ea"/>
              <a:cs typeface="+mn-cs"/>
              <a:sym typeface="Wingdings 2"/>
            </a:rPr>
            <a:t></a:t>
          </a:r>
          <a:r>
            <a:rPr lang="es-ES" sz="1100" b="1" baseline="0"/>
            <a:t>            </a:t>
          </a:r>
          <a:endParaRPr lang="es-ES" sz="1100" b="1"/>
        </a:p>
      </xdr:txBody>
    </xdr:sp>
    <xdr:clientData/>
  </xdr:twoCellAnchor>
  <xdr:twoCellAnchor>
    <xdr:from>
      <xdr:col>2</xdr:col>
      <xdr:colOff>561975</xdr:colOff>
      <xdr:row>7</xdr:row>
      <xdr:rowOff>76200</xdr:rowOff>
    </xdr:from>
    <xdr:to>
      <xdr:col>9</xdr:col>
      <xdr:colOff>457200</xdr:colOff>
      <xdr:row>7</xdr:row>
      <xdr:rowOff>495300</xdr:rowOff>
    </xdr:to>
    <xdr:grpSp>
      <xdr:nvGrpSpPr>
        <xdr:cNvPr id="328962" name="21 Grupo">
          <a:extLst>
            <a:ext uri="{FF2B5EF4-FFF2-40B4-BE49-F238E27FC236}">
              <a16:creationId xmlns:a16="http://schemas.microsoft.com/office/drawing/2014/main" id="{60E7ECF2-5C75-45A6-95BC-83117B554128}"/>
            </a:ext>
          </a:extLst>
        </xdr:cNvPr>
        <xdr:cNvGrpSpPr>
          <a:grpSpLocks/>
        </xdr:cNvGrpSpPr>
      </xdr:nvGrpSpPr>
      <xdr:grpSpPr bwMode="auto">
        <a:xfrm>
          <a:off x="1770024" y="2678151"/>
          <a:ext cx="5749615" cy="419100"/>
          <a:chOff x="1206500" y="1714500"/>
          <a:chExt cx="3098756" cy="825500"/>
        </a:xfrm>
      </xdr:grpSpPr>
      <xdr:sp macro="" textlink="">
        <xdr:nvSpPr>
          <xdr:cNvPr id="23" name="22 Rectángulo">
            <a:extLst>
              <a:ext uri="{FF2B5EF4-FFF2-40B4-BE49-F238E27FC236}">
                <a16:creationId xmlns:a16="http://schemas.microsoft.com/office/drawing/2014/main" id="{BF3B6A72-78E8-458A-8FB4-F11209007074}"/>
              </a:ext>
            </a:extLst>
          </xdr:cNvPr>
          <xdr:cNvSpPr/>
        </xdr:nvSpPr>
        <xdr:spPr>
          <a:xfrm>
            <a:off x="1206500" y="1714500"/>
            <a:ext cx="865603" cy="8255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lang="es-ES" sz="1100" b="1"/>
              <a:t>FECHA 25/09/2020   </a:t>
            </a:r>
          </a:p>
        </xdr:txBody>
      </xdr:sp>
      <xdr:sp macro="" textlink="">
        <xdr:nvSpPr>
          <xdr:cNvPr id="24" name="23 Rectángulo">
            <a:extLst>
              <a:ext uri="{FF2B5EF4-FFF2-40B4-BE49-F238E27FC236}">
                <a16:creationId xmlns:a16="http://schemas.microsoft.com/office/drawing/2014/main" id="{D26C76E8-0ED2-4233-BBD8-788BE0086AD6}"/>
              </a:ext>
            </a:extLst>
          </xdr:cNvPr>
          <xdr:cNvSpPr/>
        </xdr:nvSpPr>
        <xdr:spPr>
          <a:xfrm>
            <a:off x="2169419" y="1714500"/>
            <a:ext cx="2135837" cy="8255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lang="es-ES" sz="1100" b="1"/>
              <a:t>Hora</a:t>
            </a:r>
            <a:r>
              <a:rPr lang="es-ES" sz="1100" b="1" baseline="0"/>
              <a:t> Inicio: 9:00                                      Hora Fin: 12:00</a:t>
            </a:r>
            <a:endParaRPr lang="es-ES" sz="1100" b="1"/>
          </a:p>
        </xdr:txBody>
      </xdr:sp>
    </xdr:grpSp>
    <xdr:clientData/>
  </xdr:twoCellAnchor>
  <xdr:twoCellAnchor>
    <xdr:from>
      <xdr:col>2</xdr:col>
      <xdr:colOff>653143</xdr:colOff>
      <xdr:row>1</xdr:row>
      <xdr:rowOff>169333</xdr:rowOff>
    </xdr:from>
    <xdr:to>
      <xdr:col>10</xdr:col>
      <xdr:colOff>147410</xdr:colOff>
      <xdr:row>2</xdr:row>
      <xdr:rowOff>406550</xdr:rowOff>
    </xdr:to>
    <xdr:sp macro="" textlink="">
      <xdr:nvSpPr>
        <xdr:cNvPr id="27" name="CuadroTexto 26">
          <a:extLst>
            <a:ext uri="{FF2B5EF4-FFF2-40B4-BE49-F238E27FC236}">
              <a16:creationId xmlns:a16="http://schemas.microsoft.com/office/drawing/2014/main" id="{E48E01DC-2D0F-43F0-9868-437A03F328A4}"/>
            </a:ext>
          </a:extLst>
        </xdr:cNvPr>
        <xdr:cNvSpPr txBox="1"/>
      </xdr:nvSpPr>
      <xdr:spPr>
        <a:xfrm>
          <a:off x="1864179" y="550333"/>
          <a:ext cx="6243410" cy="427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4000" b="1">
              <a:solidFill>
                <a:sysClr val="windowText" lastClr="000000"/>
              </a:solidFill>
            </a:rPr>
            <a:t>AUDITORÍA</a:t>
          </a:r>
          <a:r>
            <a:rPr lang="es-ES" sz="4000" b="1" baseline="0">
              <a:solidFill>
                <a:sysClr val="windowText" lastClr="000000"/>
              </a:solidFill>
            </a:rPr>
            <a:t> 5S TIPO A</a:t>
          </a:r>
          <a:endParaRPr lang="es-ES" sz="4000" b="1">
            <a:solidFill>
              <a:sysClr val="windowText" lastClr="000000"/>
            </a:solidFill>
          </a:endParaRPr>
        </a:p>
      </xdr:txBody>
    </xdr:sp>
    <xdr:clientData/>
  </xdr:twoCellAnchor>
  <xdr:twoCellAnchor>
    <xdr:from>
      <xdr:col>4</xdr:col>
      <xdr:colOff>348476</xdr:colOff>
      <xdr:row>14</xdr:row>
      <xdr:rowOff>23230</xdr:rowOff>
    </xdr:from>
    <xdr:to>
      <xdr:col>4</xdr:col>
      <xdr:colOff>755031</xdr:colOff>
      <xdr:row>14</xdr:row>
      <xdr:rowOff>336858</xdr:rowOff>
    </xdr:to>
    <xdr:cxnSp macro="">
      <xdr:nvCxnSpPr>
        <xdr:cNvPr id="3" name="Conector recto 2">
          <a:extLst>
            <a:ext uri="{FF2B5EF4-FFF2-40B4-BE49-F238E27FC236}">
              <a16:creationId xmlns:a16="http://schemas.microsoft.com/office/drawing/2014/main" id="{3BCEEE97-D0FF-42BA-BBCC-7208872640A2}"/>
            </a:ext>
          </a:extLst>
        </xdr:cNvPr>
        <xdr:cNvCxnSpPr/>
      </xdr:nvCxnSpPr>
      <xdr:spPr>
        <a:xfrm>
          <a:off x="3229208" y="4983200"/>
          <a:ext cx="406555" cy="31362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407950</xdr:colOff>
      <xdr:row>14</xdr:row>
      <xdr:rowOff>46463</xdr:rowOff>
    </xdr:from>
    <xdr:to>
      <xdr:col>5</xdr:col>
      <xdr:colOff>1</xdr:colOff>
      <xdr:row>14</xdr:row>
      <xdr:rowOff>315021</xdr:rowOff>
    </xdr:to>
    <xdr:cxnSp macro="">
      <xdr:nvCxnSpPr>
        <xdr:cNvPr id="20" name="Conector recto 19">
          <a:extLst>
            <a:ext uri="{FF2B5EF4-FFF2-40B4-BE49-F238E27FC236}">
              <a16:creationId xmlns:a16="http://schemas.microsoft.com/office/drawing/2014/main" id="{F670DC65-098D-47FC-93C1-D501BF89EBCD}"/>
            </a:ext>
          </a:extLst>
        </xdr:cNvPr>
        <xdr:cNvCxnSpPr/>
      </xdr:nvCxnSpPr>
      <xdr:spPr>
        <a:xfrm flipV="1">
          <a:off x="3288682" y="5006433"/>
          <a:ext cx="428392" cy="26855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2686050</xdr:colOff>
      <xdr:row>2</xdr:row>
      <xdr:rowOff>19050</xdr:rowOff>
    </xdr:from>
    <xdr:to>
      <xdr:col>11</xdr:col>
      <xdr:colOff>3457575</xdr:colOff>
      <xdr:row>3</xdr:row>
      <xdr:rowOff>0</xdr:rowOff>
    </xdr:to>
    <xdr:sp macro="" textlink="">
      <xdr:nvSpPr>
        <xdr:cNvPr id="2050" name="Texte 2">
          <a:extLst>
            <a:ext uri="{FF2B5EF4-FFF2-40B4-BE49-F238E27FC236}">
              <a16:creationId xmlns:a16="http://schemas.microsoft.com/office/drawing/2014/main" id="{606E991E-E1D5-42E4-AD9A-F9A4EA72263E}"/>
            </a:ext>
          </a:extLst>
        </xdr:cNvPr>
        <xdr:cNvSpPr txBox="1">
          <a:spLocks noChangeArrowheads="1"/>
        </xdr:cNvSpPr>
      </xdr:nvSpPr>
      <xdr:spPr bwMode="auto">
        <a:xfrm>
          <a:off x="13306425" y="209550"/>
          <a:ext cx="771525" cy="6953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0">
              <a:solidFill>
                <a:srgbClr xmlns:mc="http://schemas.openxmlformats.org/markup-compatibility/2006" val="000000" mc:Ignorable="a14" a14:legacySpreadsheetColorIndex="64"/>
              </a:solidFill>
              <a:miter lim="800000"/>
              <a:headEnd/>
              <a:tailEnd/>
            </a14:hiddenLine>
          </a:ext>
        </a:extLst>
      </xdr:spPr>
      <xdr:txBody>
        <a:bodyPr vertOverflow="clip" wrap="square" lIns="73152" tIns="59436" rIns="0" bIns="0" anchor="t" upright="1"/>
        <a:lstStyle/>
        <a:p>
          <a:pPr algn="l" rtl="0">
            <a:defRPr sz="1000"/>
          </a:pPr>
          <a:r>
            <a:rPr lang="es-ES_tradnl" sz="3600" b="1" i="0" u="none" strike="noStrike" baseline="0">
              <a:solidFill>
                <a:srgbClr val="FFFFFF"/>
              </a:solidFill>
              <a:latin typeface="Arial"/>
              <a:cs typeface="Arial"/>
            </a:rPr>
            <a:t>5S</a:t>
          </a:r>
          <a:endParaRPr lang="es-ES_tradnl"/>
        </a:p>
      </xdr:txBody>
    </xdr:sp>
    <xdr:clientData/>
  </xdr:twoCellAnchor>
  <xdr:twoCellAnchor>
    <xdr:from>
      <xdr:col>5</xdr:col>
      <xdr:colOff>436032</xdr:colOff>
      <xdr:row>0</xdr:row>
      <xdr:rowOff>122464</xdr:rowOff>
    </xdr:from>
    <xdr:to>
      <xdr:col>11</xdr:col>
      <xdr:colOff>68036</xdr:colOff>
      <xdr:row>4</xdr:row>
      <xdr:rowOff>0</xdr:rowOff>
    </xdr:to>
    <xdr:sp macro="" textlink="">
      <xdr:nvSpPr>
        <xdr:cNvPr id="6" name="CuadroTexto 5">
          <a:extLst>
            <a:ext uri="{FF2B5EF4-FFF2-40B4-BE49-F238E27FC236}">
              <a16:creationId xmlns:a16="http://schemas.microsoft.com/office/drawing/2014/main" id="{39CF6951-24CD-4C97-9F5D-9FA95F383A53}"/>
            </a:ext>
          </a:extLst>
        </xdr:cNvPr>
        <xdr:cNvSpPr txBox="1"/>
      </xdr:nvSpPr>
      <xdr:spPr>
        <a:xfrm>
          <a:off x="3211889" y="122464"/>
          <a:ext cx="5687183" cy="1102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2800" b="1">
              <a:solidFill>
                <a:sysClr val="windowText" lastClr="000000"/>
              </a:solidFill>
            </a:rPr>
            <a:t>AUDITORÍA</a:t>
          </a:r>
          <a:r>
            <a:rPr lang="es-ES" sz="2800" b="1" baseline="0">
              <a:solidFill>
                <a:sysClr val="windowText" lastClr="000000"/>
              </a:solidFill>
            </a:rPr>
            <a:t> 5S TIPO A 1ªS         </a:t>
          </a:r>
        </a:p>
        <a:p>
          <a:pPr algn="ctr"/>
          <a:r>
            <a:rPr lang="es-ES" sz="2800" b="1" baseline="0">
              <a:solidFill>
                <a:sysClr val="windowText" lastClr="000000"/>
              </a:solidFill>
            </a:rPr>
            <a:t> </a:t>
          </a:r>
          <a:r>
            <a:rPr lang="es-ES" sz="1800" b="1" baseline="0">
              <a:solidFill>
                <a:sysClr val="windowText" lastClr="000000"/>
              </a:solidFill>
            </a:rPr>
            <a:t>Separar innecesarios (ORGANIZACIÓN)</a:t>
          </a:r>
        </a:p>
        <a:p>
          <a:pPr algn="ctr"/>
          <a:endParaRPr lang="es-ES" sz="4000" b="1">
            <a:solidFill>
              <a:sysClr val="windowText" lastClr="000000"/>
            </a:solidFill>
          </a:endParaRPr>
        </a:p>
      </xdr:txBody>
    </xdr:sp>
    <xdr:clientData/>
  </xdr:twoCellAnchor>
  <xdr:twoCellAnchor editAs="oneCell">
    <xdr:from>
      <xdr:col>11</xdr:col>
      <xdr:colOff>217714</xdr:colOff>
      <xdr:row>33</xdr:row>
      <xdr:rowOff>13606</xdr:rowOff>
    </xdr:from>
    <xdr:to>
      <xdr:col>22</xdr:col>
      <xdr:colOff>408203</xdr:colOff>
      <xdr:row>43</xdr:row>
      <xdr:rowOff>196879</xdr:rowOff>
    </xdr:to>
    <xdr:pic>
      <xdr:nvPicPr>
        <xdr:cNvPr id="2" name="Imagen 1">
          <a:extLst>
            <a:ext uri="{FF2B5EF4-FFF2-40B4-BE49-F238E27FC236}">
              <a16:creationId xmlns:a16="http://schemas.microsoft.com/office/drawing/2014/main" id="{9502A7FC-8CB9-4D78-B0D0-12003CF5CDB5}"/>
            </a:ext>
          </a:extLst>
        </xdr:cNvPr>
        <xdr:cNvPicPr>
          <a:picLocks noChangeAspect="1"/>
        </xdr:cNvPicPr>
      </xdr:nvPicPr>
      <xdr:blipFill>
        <a:blip xmlns:r="http://schemas.openxmlformats.org/officeDocument/2006/relationships" r:embed="rId1"/>
        <a:stretch>
          <a:fillRect/>
        </a:stretch>
      </xdr:blipFill>
      <xdr:spPr>
        <a:xfrm>
          <a:off x="9048750" y="11947070"/>
          <a:ext cx="7252596" cy="2591737"/>
        </a:xfrm>
        <a:prstGeom prst="rect">
          <a:avLst/>
        </a:prstGeom>
      </xdr:spPr>
    </xdr:pic>
    <xdr:clientData/>
  </xdr:twoCellAnchor>
  <xdr:twoCellAnchor editAs="oneCell">
    <xdr:from>
      <xdr:col>11</xdr:col>
      <xdr:colOff>407893</xdr:colOff>
      <xdr:row>5</xdr:row>
      <xdr:rowOff>108858</xdr:rowOff>
    </xdr:from>
    <xdr:to>
      <xdr:col>12</xdr:col>
      <xdr:colOff>367072</xdr:colOff>
      <xdr:row>6</xdr:row>
      <xdr:rowOff>27215</xdr:rowOff>
    </xdr:to>
    <xdr:pic>
      <xdr:nvPicPr>
        <xdr:cNvPr id="5" name="Gráfico 4" descr="Cámara de vídeo">
          <a:extLst>
            <a:ext uri="{FF2B5EF4-FFF2-40B4-BE49-F238E27FC236}">
              <a16:creationId xmlns:a16="http://schemas.microsoft.com/office/drawing/2014/main" id="{7020826D-E4A6-491A-9CF3-5DCF7BFE527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388607" y="1483179"/>
          <a:ext cx="408215" cy="408215"/>
        </a:xfrm>
        <a:prstGeom prst="rect">
          <a:avLst/>
        </a:prstGeom>
      </xdr:spPr>
    </xdr:pic>
    <xdr:clientData/>
  </xdr:twoCellAnchor>
  <xdr:twoCellAnchor editAs="oneCell">
    <xdr:from>
      <xdr:col>11</xdr:col>
      <xdr:colOff>13608</xdr:colOff>
      <xdr:row>5</xdr:row>
      <xdr:rowOff>163608</xdr:rowOff>
    </xdr:from>
    <xdr:to>
      <xdr:col>11</xdr:col>
      <xdr:colOff>339858</xdr:colOff>
      <xdr:row>6</xdr:row>
      <xdr:rowOff>0</xdr:rowOff>
    </xdr:to>
    <xdr:pic>
      <xdr:nvPicPr>
        <xdr:cNvPr id="7" name="Gráfico 6" descr="Cámara">
          <a:extLst>
            <a:ext uri="{FF2B5EF4-FFF2-40B4-BE49-F238E27FC236}">
              <a16:creationId xmlns:a16="http://schemas.microsoft.com/office/drawing/2014/main" id="{8A6CB670-A793-4932-9FCD-3B4A2C47858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994322" y="1537929"/>
          <a:ext cx="326250" cy="326250"/>
        </a:xfrm>
        <a:prstGeom prst="rect">
          <a:avLst/>
        </a:prstGeom>
      </xdr:spPr>
    </xdr:pic>
    <xdr:clientData/>
  </xdr:twoCellAnchor>
  <xdr:twoCellAnchor editAs="oneCell">
    <xdr:from>
      <xdr:col>14</xdr:col>
      <xdr:colOff>54106</xdr:colOff>
      <xdr:row>5</xdr:row>
      <xdr:rowOff>190502</xdr:rowOff>
    </xdr:from>
    <xdr:to>
      <xdr:col>14</xdr:col>
      <xdr:colOff>339856</xdr:colOff>
      <xdr:row>5</xdr:row>
      <xdr:rowOff>476252</xdr:rowOff>
    </xdr:to>
    <xdr:pic>
      <xdr:nvPicPr>
        <xdr:cNvPr id="8" name="Gráfico 7" descr="Portapapeles">
          <a:extLst>
            <a:ext uri="{FF2B5EF4-FFF2-40B4-BE49-F238E27FC236}">
              <a16:creationId xmlns:a16="http://schemas.microsoft.com/office/drawing/2014/main" id="{B32220DB-D436-4AE5-8230-04025F096B4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776535" y="1564823"/>
          <a:ext cx="285750" cy="285750"/>
        </a:xfrm>
        <a:prstGeom prst="rect">
          <a:avLst/>
        </a:prstGeom>
      </xdr:spPr>
    </xdr:pic>
    <xdr:clientData/>
  </xdr:twoCellAnchor>
  <xdr:twoCellAnchor editAs="oneCell">
    <xdr:from>
      <xdr:col>18</xdr:col>
      <xdr:colOff>16007</xdr:colOff>
      <xdr:row>5</xdr:row>
      <xdr:rowOff>179617</xdr:rowOff>
    </xdr:from>
    <xdr:to>
      <xdr:col>18</xdr:col>
      <xdr:colOff>301757</xdr:colOff>
      <xdr:row>5</xdr:row>
      <xdr:rowOff>465367</xdr:rowOff>
    </xdr:to>
    <xdr:pic>
      <xdr:nvPicPr>
        <xdr:cNvPr id="9" name="Gráfico 8" descr="Portapapeles">
          <a:extLst>
            <a:ext uri="{FF2B5EF4-FFF2-40B4-BE49-F238E27FC236}">
              <a16:creationId xmlns:a16="http://schemas.microsoft.com/office/drawing/2014/main" id="{80EADB66-6624-48B3-B69E-884BC765254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3840864" y="1553938"/>
          <a:ext cx="285750" cy="285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2686050</xdr:colOff>
      <xdr:row>2</xdr:row>
      <xdr:rowOff>19050</xdr:rowOff>
    </xdr:from>
    <xdr:to>
      <xdr:col>11</xdr:col>
      <xdr:colOff>3457575</xdr:colOff>
      <xdr:row>3</xdr:row>
      <xdr:rowOff>0</xdr:rowOff>
    </xdr:to>
    <xdr:sp macro="" textlink="">
      <xdr:nvSpPr>
        <xdr:cNvPr id="2" name="Texte 2">
          <a:extLst>
            <a:ext uri="{FF2B5EF4-FFF2-40B4-BE49-F238E27FC236}">
              <a16:creationId xmlns:a16="http://schemas.microsoft.com/office/drawing/2014/main" id="{21B5F8F6-0D51-4514-A4C0-19B1FE11129C}"/>
            </a:ext>
          </a:extLst>
        </xdr:cNvPr>
        <xdr:cNvSpPr txBox="1">
          <a:spLocks noChangeArrowheads="1"/>
        </xdr:cNvSpPr>
      </xdr:nvSpPr>
      <xdr:spPr bwMode="auto">
        <a:xfrm>
          <a:off x="9601200" y="790575"/>
          <a:ext cx="0" cy="2667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0">
              <a:solidFill>
                <a:srgbClr xmlns:mc="http://schemas.openxmlformats.org/markup-compatibility/2006" val="000000" mc:Ignorable="a14" a14:legacySpreadsheetColorIndex="64"/>
              </a:solidFill>
              <a:miter lim="800000"/>
              <a:headEnd/>
              <a:tailEnd/>
            </a14:hiddenLine>
          </a:ext>
        </a:extLst>
      </xdr:spPr>
      <xdr:txBody>
        <a:bodyPr vertOverflow="clip" wrap="square" lIns="73152" tIns="59436" rIns="0" bIns="0" anchor="t" upright="1"/>
        <a:lstStyle/>
        <a:p>
          <a:pPr algn="l" rtl="0">
            <a:defRPr sz="1000"/>
          </a:pPr>
          <a:r>
            <a:rPr lang="es-ES_tradnl" sz="3600" b="1" i="0" u="none" strike="noStrike" baseline="0">
              <a:solidFill>
                <a:srgbClr val="FFFFFF"/>
              </a:solidFill>
              <a:latin typeface="Arial"/>
              <a:cs typeface="Arial"/>
            </a:rPr>
            <a:t>5S</a:t>
          </a:r>
          <a:endParaRPr lang="es-ES_tradnl"/>
        </a:p>
      </xdr:txBody>
    </xdr:sp>
    <xdr:clientData/>
  </xdr:twoCellAnchor>
  <xdr:twoCellAnchor>
    <xdr:from>
      <xdr:col>5</xdr:col>
      <xdr:colOff>436032</xdr:colOff>
      <xdr:row>0</xdr:row>
      <xdr:rowOff>122464</xdr:rowOff>
    </xdr:from>
    <xdr:to>
      <xdr:col>13</xdr:col>
      <xdr:colOff>353786</xdr:colOff>
      <xdr:row>4</xdr:row>
      <xdr:rowOff>0</xdr:rowOff>
    </xdr:to>
    <xdr:sp macro="" textlink="">
      <xdr:nvSpPr>
        <xdr:cNvPr id="3" name="CuadroTexto 2">
          <a:extLst>
            <a:ext uri="{FF2B5EF4-FFF2-40B4-BE49-F238E27FC236}">
              <a16:creationId xmlns:a16="http://schemas.microsoft.com/office/drawing/2014/main" id="{CC4A6337-5E66-4E3F-A3E8-989199425A80}"/>
            </a:ext>
          </a:extLst>
        </xdr:cNvPr>
        <xdr:cNvSpPr txBox="1"/>
      </xdr:nvSpPr>
      <xdr:spPr>
        <a:xfrm>
          <a:off x="3211889" y="122464"/>
          <a:ext cx="7469718" cy="1102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2800" b="1">
              <a:solidFill>
                <a:sysClr val="windowText" lastClr="000000"/>
              </a:solidFill>
            </a:rPr>
            <a:t>AUDITORÍA</a:t>
          </a:r>
          <a:r>
            <a:rPr lang="es-ES" sz="2800" b="1" baseline="0">
              <a:solidFill>
                <a:sysClr val="windowText" lastClr="000000"/>
              </a:solidFill>
            </a:rPr>
            <a:t> 5S TIPO A 2ªS         </a:t>
          </a:r>
        </a:p>
        <a:p>
          <a:pPr algn="ctr"/>
          <a:r>
            <a:rPr lang="es-ES" sz="2800" b="1" baseline="0">
              <a:solidFill>
                <a:sysClr val="windowText" lastClr="000000"/>
              </a:solidFill>
            </a:rPr>
            <a:t> </a:t>
          </a:r>
          <a:r>
            <a:rPr lang="es-ES" sz="1800" b="1" baseline="0">
              <a:solidFill>
                <a:sysClr val="windowText" lastClr="000000"/>
              </a:solidFill>
            </a:rPr>
            <a:t>Lo necesario,"Un lugar para cada cosa y cada cosa en su lugar"</a:t>
          </a:r>
        </a:p>
        <a:p>
          <a:pPr algn="ctr"/>
          <a:endParaRPr lang="es-ES" sz="4000" b="1">
            <a:solidFill>
              <a:sysClr val="windowText" lastClr="000000"/>
            </a:solidFill>
          </a:endParaRPr>
        </a:p>
      </xdr:txBody>
    </xdr:sp>
    <xdr:clientData/>
  </xdr:twoCellAnchor>
  <xdr:twoCellAnchor editAs="oneCell">
    <xdr:from>
      <xdr:col>10</xdr:col>
      <xdr:colOff>3226707</xdr:colOff>
      <xdr:row>27</xdr:row>
      <xdr:rowOff>14515</xdr:rowOff>
    </xdr:from>
    <xdr:to>
      <xdr:col>21</xdr:col>
      <xdr:colOff>190489</xdr:colOff>
      <xdr:row>35</xdr:row>
      <xdr:rowOff>156967</xdr:rowOff>
    </xdr:to>
    <xdr:pic>
      <xdr:nvPicPr>
        <xdr:cNvPr id="6" name="Imagen 5">
          <a:extLst>
            <a:ext uri="{FF2B5EF4-FFF2-40B4-BE49-F238E27FC236}">
              <a16:creationId xmlns:a16="http://schemas.microsoft.com/office/drawing/2014/main" id="{3E7C786C-4177-4324-AF90-C2A9C70C69DC}"/>
            </a:ext>
          </a:extLst>
        </xdr:cNvPr>
        <xdr:cNvPicPr>
          <a:picLocks noChangeAspect="1"/>
        </xdr:cNvPicPr>
      </xdr:nvPicPr>
      <xdr:blipFill>
        <a:blip xmlns:r="http://schemas.openxmlformats.org/officeDocument/2006/relationships" r:embed="rId1"/>
        <a:stretch>
          <a:fillRect/>
        </a:stretch>
      </xdr:blipFill>
      <xdr:spPr>
        <a:xfrm>
          <a:off x="8700407" y="10352315"/>
          <a:ext cx="7276182" cy="2606252"/>
        </a:xfrm>
        <a:prstGeom prst="rect">
          <a:avLst/>
        </a:prstGeom>
      </xdr:spPr>
    </xdr:pic>
    <xdr:clientData/>
  </xdr:twoCellAnchor>
  <xdr:twoCellAnchor editAs="oneCell">
    <xdr:from>
      <xdr:col>11</xdr:col>
      <xdr:colOff>435107</xdr:colOff>
      <xdr:row>5</xdr:row>
      <xdr:rowOff>122465</xdr:rowOff>
    </xdr:from>
    <xdr:to>
      <xdr:col>12</xdr:col>
      <xdr:colOff>394286</xdr:colOff>
      <xdr:row>6</xdr:row>
      <xdr:rowOff>40822</xdr:rowOff>
    </xdr:to>
    <xdr:pic>
      <xdr:nvPicPr>
        <xdr:cNvPr id="5" name="Gráfico 4" descr="Cámara de vídeo">
          <a:extLst>
            <a:ext uri="{FF2B5EF4-FFF2-40B4-BE49-F238E27FC236}">
              <a16:creationId xmlns:a16="http://schemas.microsoft.com/office/drawing/2014/main" id="{DF61CE24-DB8A-44F6-AFBF-3BFBE27FC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415821" y="1496786"/>
          <a:ext cx="408215" cy="408215"/>
        </a:xfrm>
        <a:prstGeom prst="rect">
          <a:avLst/>
        </a:prstGeom>
      </xdr:spPr>
    </xdr:pic>
    <xdr:clientData/>
  </xdr:twoCellAnchor>
  <xdr:twoCellAnchor editAs="oneCell">
    <xdr:from>
      <xdr:col>11</xdr:col>
      <xdr:colOff>40822</xdr:colOff>
      <xdr:row>5</xdr:row>
      <xdr:rowOff>177215</xdr:rowOff>
    </xdr:from>
    <xdr:to>
      <xdr:col>11</xdr:col>
      <xdr:colOff>367072</xdr:colOff>
      <xdr:row>6</xdr:row>
      <xdr:rowOff>13607</xdr:rowOff>
    </xdr:to>
    <xdr:pic>
      <xdr:nvPicPr>
        <xdr:cNvPr id="7" name="Gráfico 6" descr="Cámara">
          <a:extLst>
            <a:ext uri="{FF2B5EF4-FFF2-40B4-BE49-F238E27FC236}">
              <a16:creationId xmlns:a16="http://schemas.microsoft.com/office/drawing/2014/main" id="{899E47CA-64DB-4CF5-98A1-BF4CF578C42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9021536" y="1551536"/>
          <a:ext cx="326250" cy="326250"/>
        </a:xfrm>
        <a:prstGeom prst="rect">
          <a:avLst/>
        </a:prstGeom>
      </xdr:spPr>
    </xdr:pic>
    <xdr:clientData/>
  </xdr:twoCellAnchor>
  <xdr:twoCellAnchor editAs="oneCell">
    <xdr:from>
      <xdr:col>14</xdr:col>
      <xdr:colOff>81320</xdr:colOff>
      <xdr:row>5</xdr:row>
      <xdr:rowOff>204109</xdr:rowOff>
    </xdr:from>
    <xdr:to>
      <xdr:col>14</xdr:col>
      <xdr:colOff>367070</xdr:colOff>
      <xdr:row>6</xdr:row>
      <xdr:rowOff>1</xdr:rowOff>
    </xdr:to>
    <xdr:pic>
      <xdr:nvPicPr>
        <xdr:cNvPr id="8" name="Gráfico 7" descr="Portapapeles">
          <a:extLst>
            <a:ext uri="{FF2B5EF4-FFF2-40B4-BE49-F238E27FC236}">
              <a16:creationId xmlns:a16="http://schemas.microsoft.com/office/drawing/2014/main" id="{B6A76976-5068-4C12-BCD8-8362A017D53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803749" y="1578430"/>
          <a:ext cx="285750" cy="285750"/>
        </a:xfrm>
        <a:prstGeom prst="rect">
          <a:avLst/>
        </a:prstGeom>
      </xdr:spPr>
    </xdr:pic>
    <xdr:clientData/>
  </xdr:twoCellAnchor>
  <xdr:twoCellAnchor editAs="oneCell">
    <xdr:from>
      <xdr:col>18</xdr:col>
      <xdr:colOff>43221</xdr:colOff>
      <xdr:row>5</xdr:row>
      <xdr:rowOff>193224</xdr:rowOff>
    </xdr:from>
    <xdr:to>
      <xdr:col>18</xdr:col>
      <xdr:colOff>328971</xdr:colOff>
      <xdr:row>5</xdr:row>
      <xdr:rowOff>478974</xdr:rowOff>
    </xdr:to>
    <xdr:pic>
      <xdr:nvPicPr>
        <xdr:cNvPr id="9" name="Gráfico 8" descr="Portapapeles">
          <a:extLst>
            <a:ext uri="{FF2B5EF4-FFF2-40B4-BE49-F238E27FC236}">
              <a16:creationId xmlns:a16="http://schemas.microsoft.com/office/drawing/2014/main" id="{BADA2570-D98A-48B1-8A13-04697B0539D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3868078" y="1567545"/>
          <a:ext cx="285750" cy="2857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2686050</xdr:colOff>
      <xdr:row>2</xdr:row>
      <xdr:rowOff>19050</xdr:rowOff>
    </xdr:from>
    <xdr:to>
      <xdr:col>11</xdr:col>
      <xdr:colOff>3457575</xdr:colOff>
      <xdr:row>3</xdr:row>
      <xdr:rowOff>0</xdr:rowOff>
    </xdr:to>
    <xdr:sp macro="" textlink="">
      <xdr:nvSpPr>
        <xdr:cNvPr id="2" name="Texte 2">
          <a:extLst>
            <a:ext uri="{FF2B5EF4-FFF2-40B4-BE49-F238E27FC236}">
              <a16:creationId xmlns:a16="http://schemas.microsoft.com/office/drawing/2014/main" id="{51672707-D4F0-495B-AE0B-90674E94478F}"/>
            </a:ext>
          </a:extLst>
        </xdr:cNvPr>
        <xdr:cNvSpPr txBox="1">
          <a:spLocks noChangeArrowheads="1"/>
        </xdr:cNvSpPr>
      </xdr:nvSpPr>
      <xdr:spPr bwMode="auto">
        <a:xfrm>
          <a:off x="9601200" y="790575"/>
          <a:ext cx="0" cy="2667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0">
              <a:solidFill>
                <a:srgbClr xmlns:mc="http://schemas.openxmlformats.org/markup-compatibility/2006" val="000000" mc:Ignorable="a14" a14:legacySpreadsheetColorIndex="64"/>
              </a:solidFill>
              <a:miter lim="800000"/>
              <a:headEnd/>
              <a:tailEnd/>
            </a14:hiddenLine>
          </a:ext>
        </a:extLst>
      </xdr:spPr>
      <xdr:txBody>
        <a:bodyPr vertOverflow="clip" wrap="square" lIns="73152" tIns="59436" rIns="0" bIns="0" anchor="t" upright="1"/>
        <a:lstStyle/>
        <a:p>
          <a:pPr algn="l" rtl="0">
            <a:defRPr sz="1000"/>
          </a:pPr>
          <a:r>
            <a:rPr lang="es-ES_tradnl" sz="3600" b="1" i="0" u="none" strike="noStrike" baseline="0">
              <a:solidFill>
                <a:srgbClr val="FFFFFF"/>
              </a:solidFill>
              <a:latin typeface="Arial"/>
              <a:cs typeface="Arial"/>
            </a:rPr>
            <a:t>5S</a:t>
          </a:r>
          <a:endParaRPr lang="es-ES_tradnl"/>
        </a:p>
      </xdr:txBody>
    </xdr:sp>
    <xdr:clientData/>
  </xdr:twoCellAnchor>
  <xdr:twoCellAnchor>
    <xdr:from>
      <xdr:col>5</xdr:col>
      <xdr:colOff>436032</xdr:colOff>
      <xdr:row>0</xdr:row>
      <xdr:rowOff>122464</xdr:rowOff>
    </xdr:from>
    <xdr:to>
      <xdr:col>19</xdr:col>
      <xdr:colOff>231322</xdr:colOff>
      <xdr:row>4</xdr:row>
      <xdr:rowOff>0</xdr:rowOff>
    </xdr:to>
    <xdr:sp macro="" textlink="">
      <xdr:nvSpPr>
        <xdr:cNvPr id="3" name="CuadroTexto 2">
          <a:extLst>
            <a:ext uri="{FF2B5EF4-FFF2-40B4-BE49-F238E27FC236}">
              <a16:creationId xmlns:a16="http://schemas.microsoft.com/office/drawing/2014/main" id="{C14ADA49-CB10-481C-B7DF-288E1A5FE0E5}"/>
            </a:ext>
          </a:extLst>
        </xdr:cNvPr>
        <xdr:cNvSpPr txBox="1"/>
      </xdr:nvSpPr>
      <xdr:spPr>
        <a:xfrm>
          <a:off x="3211889" y="122464"/>
          <a:ext cx="11538254" cy="1102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2800" b="1">
              <a:solidFill>
                <a:sysClr val="windowText" lastClr="000000"/>
              </a:solidFill>
            </a:rPr>
            <a:t>AUDITORÍA</a:t>
          </a:r>
          <a:r>
            <a:rPr lang="es-ES" sz="2800" b="1" baseline="0">
              <a:solidFill>
                <a:sysClr val="windowText" lastClr="000000"/>
              </a:solidFill>
            </a:rPr>
            <a:t> 5S TIPO A 3ªS         </a:t>
          </a:r>
        </a:p>
        <a:p>
          <a:pPr algn="ctr"/>
          <a:r>
            <a:rPr lang="es-ES" sz="2800" b="1" baseline="0">
              <a:solidFill>
                <a:sysClr val="windowText" lastClr="000000"/>
              </a:solidFill>
            </a:rPr>
            <a:t> </a:t>
          </a:r>
          <a:r>
            <a:rPr lang="es-ES" sz="1800" b="1" baseline="0">
              <a:solidFill>
                <a:sysClr val="windowText" lastClr="000000"/>
              </a:solidFill>
            </a:rPr>
            <a:t>Suprimir suciedad (limpieza). "La limpieza es inspección", "Manchar menos es mejor que limpiar más"</a:t>
          </a:r>
          <a:endParaRPr lang="es-ES" sz="4000" b="1">
            <a:solidFill>
              <a:sysClr val="windowText" lastClr="000000"/>
            </a:solidFill>
          </a:endParaRPr>
        </a:p>
      </xdr:txBody>
    </xdr:sp>
    <xdr:clientData/>
  </xdr:twoCellAnchor>
  <xdr:twoCellAnchor editAs="oneCell">
    <xdr:from>
      <xdr:col>10</xdr:col>
      <xdr:colOff>3442607</xdr:colOff>
      <xdr:row>32</xdr:row>
      <xdr:rowOff>217714</xdr:rowOff>
    </xdr:from>
    <xdr:to>
      <xdr:col>22</xdr:col>
      <xdr:colOff>95239</xdr:colOff>
      <xdr:row>43</xdr:row>
      <xdr:rowOff>101630</xdr:rowOff>
    </xdr:to>
    <xdr:pic>
      <xdr:nvPicPr>
        <xdr:cNvPr id="5" name="Imagen 4">
          <a:extLst>
            <a:ext uri="{FF2B5EF4-FFF2-40B4-BE49-F238E27FC236}">
              <a16:creationId xmlns:a16="http://schemas.microsoft.com/office/drawing/2014/main" id="{90C71D6E-4D23-482F-A8C7-4B158DFACB68}"/>
            </a:ext>
          </a:extLst>
        </xdr:cNvPr>
        <xdr:cNvPicPr>
          <a:picLocks noChangeAspect="1"/>
        </xdr:cNvPicPr>
      </xdr:nvPicPr>
      <xdr:blipFill>
        <a:blip xmlns:r="http://schemas.openxmlformats.org/officeDocument/2006/relationships" r:embed="rId1"/>
        <a:stretch>
          <a:fillRect/>
        </a:stretch>
      </xdr:blipFill>
      <xdr:spPr>
        <a:xfrm>
          <a:off x="8735786" y="11770178"/>
          <a:ext cx="7252596" cy="2591737"/>
        </a:xfrm>
        <a:prstGeom prst="rect">
          <a:avLst/>
        </a:prstGeom>
      </xdr:spPr>
    </xdr:pic>
    <xdr:clientData/>
  </xdr:twoCellAnchor>
  <xdr:twoCellAnchor editAs="oneCell">
    <xdr:from>
      <xdr:col>12</xdr:col>
      <xdr:colOff>40499</xdr:colOff>
      <xdr:row>5</xdr:row>
      <xdr:rowOff>108858</xdr:rowOff>
    </xdr:from>
    <xdr:to>
      <xdr:col>12</xdr:col>
      <xdr:colOff>448714</xdr:colOff>
      <xdr:row>6</xdr:row>
      <xdr:rowOff>27215</xdr:rowOff>
    </xdr:to>
    <xdr:pic>
      <xdr:nvPicPr>
        <xdr:cNvPr id="14" name="Gráfico 13" descr="Cámara de vídeo">
          <a:extLst>
            <a:ext uri="{FF2B5EF4-FFF2-40B4-BE49-F238E27FC236}">
              <a16:creationId xmlns:a16="http://schemas.microsoft.com/office/drawing/2014/main" id="{8690134D-12EB-4E65-B44F-A5DA20FDC87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511070" y="1483179"/>
          <a:ext cx="408215" cy="408215"/>
        </a:xfrm>
        <a:prstGeom prst="rect">
          <a:avLst/>
        </a:prstGeom>
      </xdr:spPr>
    </xdr:pic>
    <xdr:clientData/>
  </xdr:twoCellAnchor>
  <xdr:twoCellAnchor editAs="oneCell">
    <xdr:from>
      <xdr:col>11</xdr:col>
      <xdr:colOff>95249</xdr:colOff>
      <xdr:row>5</xdr:row>
      <xdr:rowOff>163608</xdr:rowOff>
    </xdr:from>
    <xdr:to>
      <xdr:col>11</xdr:col>
      <xdr:colOff>421499</xdr:colOff>
      <xdr:row>6</xdr:row>
      <xdr:rowOff>0</xdr:rowOff>
    </xdr:to>
    <xdr:pic>
      <xdr:nvPicPr>
        <xdr:cNvPr id="15" name="Gráfico 14" descr="Cámara">
          <a:extLst>
            <a:ext uri="{FF2B5EF4-FFF2-40B4-BE49-F238E27FC236}">
              <a16:creationId xmlns:a16="http://schemas.microsoft.com/office/drawing/2014/main" id="{EAC669F8-1A83-4B54-B009-1C91E93D0A6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9116785" y="1537929"/>
          <a:ext cx="326250" cy="326250"/>
        </a:xfrm>
        <a:prstGeom prst="rect">
          <a:avLst/>
        </a:prstGeom>
      </xdr:spPr>
    </xdr:pic>
    <xdr:clientData/>
  </xdr:twoCellAnchor>
  <xdr:twoCellAnchor editAs="oneCell">
    <xdr:from>
      <xdr:col>14</xdr:col>
      <xdr:colOff>135748</xdr:colOff>
      <xdr:row>5</xdr:row>
      <xdr:rowOff>190502</xdr:rowOff>
    </xdr:from>
    <xdr:to>
      <xdr:col>14</xdr:col>
      <xdr:colOff>421498</xdr:colOff>
      <xdr:row>5</xdr:row>
      <xdr:rowOff>476252</xdr:rowOff>
    </xdr:to>
    <xdr:pic>
      <xdr:nvPicPr>
        <xdr:cNvPr id="16" name="Gráfico 15" descr="Portapapeles">
          <a:extLst>
            <a:ext uri="{FF2B5EF4-FFF2-40B4-BE49-F238E27FC236}">
              <a16:creationId xmlns:a16="http://schemas.microsoft.com/office/drawing/2014/main" id="{2DC07ECE-0DDD-454B-B988-F8BC1092ED9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898998" y="1564823"/>
          <a:ext cx="285750" cy="285750"/>
        </a:xfrm>
        <a:prstGeom prst="rect">
          <a:avLst/>
        </a:prstGeom>
      </xdr:spPr>
    </xdr:pic>
    <xdr:clientData/>
  </xdr:twoCellAnchor>
  <xdr:twoCellAnchor editAs="oneCell">
    <xdr:from>
      <xdr:col>18</xdr:col>
      <xdr:colOff>97648</xdr:colOff>
      <xdr:row>5</xdr:row>
      <xdr:rowOff>179617</xdr:rowOff>
    </xdr:from>
    <xdr:to>
      <xdr:col>18</xdr:col>
      <xdr:colOff>383398</xdr:colOff>
      <xdr:row>5</xdr:row>
      <xdr:rowOff>465367</xdr:rowOff>
    </xdr:to>
    <xdr:pic>
      <xdr:nvPicPr>
        <xdr:cNvPr id="17" name="Gráfico 16" descr="Portapapeles">
          <a:extLst>
            <a:ext uri="{FF2B5EF4-FFF2-40B4-BE49-F238E27FC236}">
              <a16:creationId xmlns:a16="http://schemas.microsoft.com/office/drawing/2014/main" id="{E8687C8B-9BF0-46B3-ACFC-6FF46366E0F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3963327" y="1553938"/>
          <a:ext cx="285750" cy="285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2686050</xdr:colOff>
      <xdr:row>2</xdr:row>
      <xdr:rowOff>19050</xdr:rowOff>
    </xdr:from>
    <xdr:to>
      <xdr:col>11</xdr:col>
      <xdr:colOff>3457575</xdr:colOff>
      <xdr:row>3</xdr:row>
      <xdr:rowOff>0</xdr:rowOff>
    </xdr:to>
    <xdr:sp macro="" textlink="">
      <xdr:nvSpPr>
        <xdr:cNvPr id="2" name="Texte 2">
          <a:extLst>
            <a:ext uri="{FF2B5EF4-FFF2-40B4-BE49-F238E27FC236}">
              <a16:creationId xmlns:a16="http://schemas.microsoft.com/office/drawing/2014/main" id="{2CEC2C93-0766-49BA-90DA-CE1E480C2F06}"/>
            </a:ext>
          </a:extLst>
        </xdr:cNvPr>
        <xdr:cNvSpPr txBox="1">
          <a:spLocks noChangeArrowheads="1"/>
        </xdr:cNvSpPr>
      </xdr:nvSpPr>
      <xdr:spPr bwMode="auto">
        <a:xfrm>
          <a:off x="9601200" y="790575"/>
          <a:ext cx="0" cy="2667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0">
              <a:solidFill>
                <a:srgbClr xmlns:mc="http://schemas.openxmlformats.org/markup-compatibility/2006" val="000000" mc:Ignorable="a14" a14:legacySpreadsheetColorIndex="64"/>
              </a:solidFill>
              <a:miter lim="800000"/>
              <a:headEnd/>
              <a:tailEnd/>
            </a14:hiddenLine>
          </a:ext>
        </a:extLst>
      </xdr:spPr>
      <xdr:txBody>
        <a:bodyPr vertOverflow="clip" wrap="square" lIns="73152" tIns="59436" rIns="0" bIns="0" anchor="t" upright="1"/>
        <a:lstStyle/>
        <a:p>
          <a:pPr algn="l" rtl="0">
            <a:defRPr sz="1000"/>
          </a:pPr>
          <a:r>
            <a:rPr lang="es-ES_tradnl" sz="3600" b="1" i="0" u="none" strike="noStrike" baseline="0">
              <a:solidFill>
                <a:srgbClr val="FFFFFF"/>
              </a:solidFill>
              <a:latin typeface="Arial"/>
              <a:cs typeface="Arial"/>
            </a:rPr>
            <a:t>5S</a:t>
          </a:r>
          <a:endParaRPr lang="es-ES_tradnl"/>
        </a:p>
      </xdr:txBody>
    </xdr:sp>
    <xdr:clientData/>
  </xdr:twoCellAnchor>
  <xdr:twoCellAnchor>
    <xdr:from>
      <xdr:col>5</xdr:col>
      <xdr:colOff>436032</xdr:colOff>
      <xdr:row>0</xdr:row>
      <xdr:rowOff>122464</xdr:rowOff>
    </xdr:from>
    <xdr:to>
      <xdr:col>21</xdr:col>
      <xdr:colOff>95250</xdr:colOff>
      <xdr:row>4</xdr:row>
      <xdr:rowOff>0</xdr:rowOff>
    </xdr:to>
    <xdr:sp macro="" textlink="">
      <xdr:nvSpPr>
        <xdr:cNvPr id="3" name="CuadroTexto 2">
          <a:extLst>
            <a:ext uri="{FF2B5EF4-FFF2-40B4-BE49-F238E27FC236}">
              <a16:creationId xmlns:a16="http://schemas.microsoft.com/office/drawing/2014/main" id="{6463FCE5-93FA-46E2-8DCE-0C11608C95FB}"/>
            </a:ext>
          </a:extLst>
        </xdr:cNvPr>
        <xdr:cNvSpPr txBox="1"/>
      </xdr:nvSpPr>
      <xdr:spPr>
        <a:xfrm>
          <a:off x="3211889" y="122464"/>
          <a:ext cx="12654040" cy="1102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2800" b="1">
              <a:solidFill>
                <a:sysClr val="windowText" lastClr="000000"/>
              </a:solidFill>
            </a:rPr>
            <a:t>AUDITORÍA</a:t>
          </a:r>
          <a:r>
            <a:rPr lang="es-ES" sz="2800" b="1" baseline="0">
              <a:solidFill>
                <a:sysClr val="windowText" lastClr="000000"/>
              </a:solidFill>
            </a:rPr>
            <a:t> 5S TIPO A 4ªS         </a:t>
          </a:r>
        </a:p>
        <a:p>
          <a:pPr algn="ctr"/>
          <a:r>
            <a:rPr lang="es-ES" sz="2800" b="1" baseline="0">
              <a:solidFill>
                <a:sysClr val="windowText" lastClr="000000"/>
              </a:solidFill>
            </a:rPr>
            <a:t> </a:t>
          </a:r>
          <a:r>
            <a:rPr lang="es-ES" sz="1800" b="1" baseline="0">
              <a:solidFill>
                <a:sysClr val="windowText" lastClr="000000"/>
              </a:solidFill>
            </a:rPr>
            <a:t>Estandarización, gestión visual. "El mejor estándar es el que se respeta", "La mejora es imposible sin la estándarización"</a:t>
          </a:r>
          <a:endParaRPr lang="es-ES" sz="4000" b="1">
            <a:solidFill>
              <a:sysClr val="windowText" lastClr="000000"/>
            </a:solidFill>
          </a:endParaRPr>
        </a:p>
      </xdr:txBody>
    </xdr:sp>
    <xdr:clientData/>
  </xdr:twoCellAnchor>
  <xdr:twoCellAnchor editAs="oneCell">
    <xdr:from>
      <xdr:col>10</xdr:col>
      <xdr:colOff>3442607</xdr:colOff>
      <xdr:row>32</xdr:row>
      <xdr:rowOff>258535</xdr:rowOff>
    </xdr:from>
    <xdr:to>
      <xdr:col>22</xdr:col>
      <xdr:colOff>95239</xdr:colOff>
      <xdr:row>43</xdr:row>
      <xdr:rowOff>142452</xdr:rowOff>
    </xdr:to>
    <xdr:pic>
      <xdr:nvPicPr>
        <xdr:cNvPr id="5" name="Imagen 4">
          <a:extLst>
            <a:ext uri="{FF2B5EF4-FFF2-40B4-BE49-F238E27FC236}">
              <a16:creationId xmlns:a16="http://schemas.microsoft.com/office/drawing/2014/main" id="{A186BBE7-B686-423B-96D6-A54748DCB242}"/>
            </a:ext>
          </a:extLst>
        </xdr:cNvPr>
        <xdr:cNvPicPr>
          <a:picLocks noChangeAspect="1"/>
        </xdr:cNvPicPr>
      </xdr:nvPicPr>
      <xdr:blipFill>
        <a:blip xmlns:r="http://schemas.openxmlformats.org/officeDocument/2006/relationships" r:embed="rId1"/>
        <a:stretch>
          <a:fillRect/>
        </a:stretch>
      </xdr:blipFill>
      <xdr:spPr>
        <a:xfrm>
          <a:off x="8735786" y="11810999"/>
          <a:ext cx="7252596" cy="2591737"/>
        </a:xfrm>
        <a:prstGeom prst="rect">
          <a:avLst/>
        </a:prstGeom>
      </xdr:spPr>
    </xdr:pic>
    <xdr:clientData/>
  </xdr:twoCellAnchor>
  <xdr:twoCellAnchor editAs="oneCell">
    <xdr:from>
      <xdr:col>12</xdr:col>
      <xdr:colOff>43221</xdr:colOff>
      <xdr:row>5</xdr:row>
      <xdr:rowOff>111580</xdr:rowOff>
    </xdr:from>
    <xdr:to>
      <xdr:col>13</xdr:col>
      <xdr:colOff>2401</xdr:colOff>
      <xdr:row>6</xdr:row>
      <xdr:rowOff>29937</xdr:rowOff>
    </xdr:to>
    <xdr:pic>
      <xdr:nvPicPr>
        <xdr:cNvPr id="22" name="Gráfico 21" descr="Cámara de vídeo">
          <a:extLst>
            <a:ext uri="{FF2B5EF4-FFF2-40B4-BE49-F238E27FC236}">
              <a16:creationId xmlns:a16="http://schemas.microsoft.com/office/drawing/2014/main" id="{3E12089C-9765-4A94-A279-CE8DA36EA8B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445757" y="1485901"/>
          <a:ext cx="408215" cy="408215"/>
        </a:xfrm>
        <a:prstGeom prst="rect">
          <a:avLst/>
        </a:prstGeom>
      </xdr:spPr>
    </xdr:pic>
    <xdr:clientData/>
  </xdr:twoCellAnchor>
  <xdr:twoCellAnchor editAs="oneCell">
    <xdr:from>
      <xdr:col>11</xdr:col>
      <xdr:colOff>97972</xdr:colOff>
      <xdr:row>5</xdr:row>
      <xdr:rowOff>166330</xdr:rowOff>
    </xdr:from>
    <xdr:to>
      <xdr:col>11</xdr:col>
      <xdr:colOff>424222</xdr:colOff>
      <xdr:row>6</xdr:row>
      <xdr:rowOff>2722</xdr:rowOff>
    </xdr:to>
    <xdr:pic>
      <xdr:nvPicPr>
        <xdr:cNvPr id="23" name="Gráfico 22" descr="Cámara">
          <a:extLst>
            <a:ext uri="{FF2B5EF4-FFF2-40B4-BE49-F238E27FC236}">
              <a16:creationId xmlns:a16="http://schemas.microsoft.com/office/drawing/2014/main" id="{2A99216A-0EFF-4E02-AA26-70158720CE4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9051472" y="1540651"/>
          <a:ext cx="326250" cy="326250"/>
        </a:xfrm>
        <a:prstGeom prst="rect">
          <a:avLst/>
        </a:prstGeom>
      </xdr:spPr>
    </xdr:pic>
    <xdr:clientData/>
  </xdr:twoCellAnchor>
  <xdr:twoCellAnchor editAs="oneCell">
    <xdr:from>
      <xdr:col>14</xdr:col>
      <xdr:colOff>138471</xdr:colOff>
      <xdr:row>5</xdr:row>
      <xdr:rowOff>193224</xdr:rowOff>
    </xdr:from>
    <xdr:to>
      <xdr:col>14</xdr:col>
      <xdr:colOff>424221</xdr:colOff>
      <xdr:row>5</xdr:row>
      <xdr:rowOff>478974</xdr:rowOff>
    </xdr:to>
    <xdr:pic>
      <xdr:nvPicPr>
        <xdr:cNvPr id="24" name="Gráfico 23" descr="Portapapeles">
          <a:extLst>
            <a:ext uri="{FF2B5EF4-FFF2-40B4-BE49-F238E27FC236}">
              <a16:creationId xmlns:a16="http://schemas.microsoft.com/office/drawing/2014/main" id="{32C3DE22-388F-4D6C-94F7-9A00ED40CE2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833685" y="1567545"/>
          <a:ext cx="285750" cy="285750"/>
        </a:xfrm>
        <a:prstGeom prst="rect">
          <a:avLst/>
        </a:prstGeom>
      </xdr:spPr>
    </xdr:pic>
    <xdr:clientData/>
  </xdr:twoCellAnchor>
  <xdr:twoCellAnchor editAs="oneCell">
    <xdr:from>
      <xdr:col>18</xdr:col>
      <xdr:colOff>100371</xdr:colOff>
      <xdr:row>5</xdr:row>
      <xdr:rowOff>182339</xdr:rowOff>
    </xdr:from>
    <xdr:to>
      <xdr:col>18</xdr:col>
      <xdr:colOff>386121</xdr:colOff>
      <xdr:row>5</xdr:row>
      <xdr:rowOff>468089</xdr:rowOff>
    </xdr:to>
    <xdr:pic>
      <xdr:nvPicPr>
        <xdr:cNvPr id="25" name="Gráfico 24" descr="Portapapeles">
          <a:extLst>
            <a:ext uri="{FF2B5EF4-FFF2-40B4-BE49-F238E27FC236}">
              <a16:creationId xmlns:a16="http://schemas.microsoft.com/office/drawing/2014/main" id="{8FE8AA10-A28E-4C6E-9E5C-4DB124FB3D3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3898014" y="1556660"/>
          <a:ext cx="285750" cy="2857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11</xdr:col>
      <xdr:colOff>2686050</xdr:colOff>
      <xdr:row>2</xdr:row>
      <xdr:rowOff>19050</xdr:rowOff>
    </xdr:from>
    <xdr:to>
      <xdr:col>11</xdr:col>
      <xdr:colOff>3457575</xdr:colOff>
      <xdr:row>3</xdr:row>
      <xdr:rowOff>0</xdr:rowOff>
    </xdr:to>
    <xdr:sp macro="" textlink="">
      <xdr:nvSpPr>
        <xdr:cNvPr id="2" name="Texte 2">
          <a:extLst>
            <a:ext uri="{FF2B5EF4-FFF2-40B4-BE49-F238E27FC236}">
              <a16:creationId xmlns:a16="http://schemas.microsoft.com/office/drawing/2014/main" id="{6CB06032-2EA0-40F6-A587-864EE88D5352}"/>
            </a:ext>
          </a:extLst>
        </xdr:cNvPr>
        <xdr:cNvSpPr txBox="1">
          <a:spLocks noChangeArrowheads="1"/>
        </xdr:cNvSpPr>
      </xdr:nvSpPr>
      <xdr:spPr bwMode="auto">
        <a:xfrm>
          <a:off x="9601200" y="790575"/>
          <a:ext cx="0" cy="2667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0">
              <a:solidFill>
                <a:srgbClr xmlns:mc="http://schemas.openxmlformats.org/markup-compatibility/2006" val="000000" mc:Ignorable="a14" a14:legacySpreadsheetColorIndex="64"/>
              </a:solidFill>
              <a:miter lim="800000"/>
              <a:headEnd/>
              <a:tailEnd/>
            </a14:hiddenLine>
          </a:ext>
        </a:extLst>
      </xdr:spPr>
      <xdr:txBody>
        <a:bodyPr vertOverflow="clip" wrap="square" lIns="73152" tIns="59436" rIns="0" bIns="0" anchor="t" upright="1"/>
        <a:lstStyle/>
        <a:p>
          <a:pPr algn="l" rtl="0">
            <a:defRPr sz="1000"/>
          </a:pPr>
          <a:r>
            <a:rPr lang="es-ES_tradnl" sz="3600" b="1" i="0" u="none" strike="noStrike" baseline="0">
              <a:solidFill>
                <a:srgbClr val="FFFFFF"/>
              </a:solidFill>
              <a:latin typeface="Arial"/>
              <a:cs typeface="Arial"/>
            </a:rPr>
            <a:t>5S</a:t>
          </a:r>
          <a:endParaRPr lang="es-ES_tradnl"/>
        </a:p>
      </xdr:txBody>
    </xdr:sp>
    <xdr:clientData/>
  </xdr:twoCellAnchor>
  <xdr:twoCellAnchor>
    <xdr:from>
      <xdr:col>5</xdr:col>
      <xdr:colOff>436032</xdr:colOff>
      <xdr:row>0</xdr:row>
      <xdr:rowOff>122464</xdr:rowOff>
    </xdr:from>
    <xdr:to>
      <xdr:col>21</xdr:col>
      <xdr:colOff>95250</xdr:colOff>
      <xdr:row>4</xdr:row>
      <xdr:rowOff>95251</xdr:rowOff>
    </xdr:to>
    <xdr:sp macro="" textlink="">
      <xdr:nvSpPr>
        <xdr:cNvPr id="3" name="CuadroTexto 2">
          <a:extLst>
            <a:ext uri="{FF2B5EF4-FFF2-40B4-BE49-F238E27FC236}">
              <a16:creationId xmlns:a16="http://schemas.microsoft.com/office/drawing/2014/main" id="{C6EEF0C9-61B0-4E39-8081-60187E06F811}"/>
            </a:ext>
          </a:extLst>
        </xdr:cNvPr>
        <xdr:cNvSpPr txBox="1"/>
      </xdr:nvSpPr>
      <xdr:spPr>
        <a:xfrm>
          <a:off x="3198282" y="122464"/>
          <a:ext cx="12641793" cy="1096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2800" b="1">
              <a:solidFill>
                <a:sysClr val="windowText" lastClr="000000"/>
              </a:solidFill>
            </a:rPr>
            <a:t>AUDITORÍA</a:t>
          </a:r>
          <a:r>
            <a:rPr lang="es-ES" sz="2800" b="1" baseline="0">
              <a:solidFill>
                <a:sysClr val="windowText" lastClr="000000"/>
              </a:solidFill>
            </a:rPr>
            <a:t> 5S TIPO A 5ªS         </a:t>
          </a:r>
        </a:p>
        <a:p>
          <a:pPr algn="ctr"/>
          <a:r>
            <a:rPr lang="es-ES" sz="2800" b="1" baseline="0">
              <a:solidFill>
                <a:sysClr val="windowText" lastClr="000000"/>
              </a:solidFill>
            </a:rPr>
            <a:t> </a:t>
          </a:r>
          <a:r>
            <a:rPr lang="es-ES" sz="1800" b="1" baseline="0">
              <a:solidFill>
                <a:sysClr val="windowText" lastClr="000000"/>
              </a:solidFill>
            </a:rPr>
            <a:t>Disciplina y hábito, seguir mejorando. "La mejora no tiene fin"</a:t>
          </a:r>
          <a:endParaRPr lang="es-ES" sz="4000" b="1">
            <a:solidFill>
              <a:sysClr val="windowText" lastClr="000000"/>
            </a:solidFill>
          </a:endParaRPr>
        </a:p>
      </xdr:txBody>
    </xdr:sp>
    <xdr:clientData/>
  </xdr:twoCellAnchor>
  <xdr:twoCellAnchor editAs="oneCell">
    <xdr:from>
      <xdr:col>10</xdr:col>
      <xdr:colOff>2762250</xdr:colOff>
      <xdr:row>18</xdr:row>
      <xdr:rowOff>231322</xdr:rowOff>
    </xdr:from>
    <xdr:to>
      <xdr:col>20</xdr:col>
      <xdr:colOff>462631</xdr:colOff>
      <xdr:row>26</xdr:row>
      <xdr:rowOff>373773</xdr:rowOff>
    </xdr:to>
    <xdr:pic>
      <xdr:nvPicPr>
        <xdr:cNvPr id="5" name="Imagen 4">
          <a:extLst>
            <a:ext uri="{FF2B5EF4-FFF2-40B4-BE49-F238E27FC236}">
              <a16:creationId xmlns:a16="http://schemas.microsoft.com/office/drawing/2014/main" id="{637349C8-22E9-4026-B5FE-C320256199F5}"/>
            </a:ext>
          </a:extLst>
        </xdr:cNvPr>
        <xdr:cNvPicPr>
          <a:picLocks noChangeAspect="1"/>
        </xdr:cNvPicPr>
      </xdr:nvPicPr>
      <xdr:blipFill>
        <a:blip xmlns:r="http://schemas.openxmlformats.org/officeDocument/2006/relationships" r:embed="rId1"/>
        <a:stretch>
          <a:fillRect/>
        </a:stretch>
      </xdr:blipFill>
      <xdr:spPr>
        <a:xfrm>
          <a:off x="8055429" y="6449786"/>
          <a:ext cx="7252596" cy="2591737"/>
        </a:xfrm>
        <a:prstGeom prst="rect">
          <a:avLst/>
        </a:prstGeom>
      </xdr:spPr>
    </xdr:pic>
    <xdr:clientData/>
  </xdr:twoCellAnchor>
  <xdr:twoCellAnchor editAs="oneCell">
    <xdr:from>
      <xdr:col>12</xdr:col>
      <xdr:colOff>0</xdr:colOff>
      <xdr:row>5</xdr:row>
      <xdr:rowOff>122464</xdr:rowOff>
    </xdr:from>
    <xdr:to>
      <xdr:col>13</xdr:col>
      <xdr:colOff>27215</xdr:colOff>
      <xdr:row>6</xdr:row>
      <xdr:rowOff>40821</xdr:rowOff>
    </xdr:to>
    <xdr:pic>
      <xdr:nvPicPr>
        <xdr:cNvPr id="6" name="Gráfico 5" descr="Cámara de vídeo">
          <a:extLst>
            <a:ext uri="{FF2B5EF4-FFF2-40B4-BE49-F238E27FC236}">
              <a16:creationId xmlns:a16="http://schemas.microsoft.com/office/drawing/2014/main" id="{A486ACFE-5A59-4C74-8EBF-F542BA92A5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375321" y="1496785"/>
          <a:ext cx="408215" cy="408215"/>
        </a:xfrm>
        <a:prstGeom prst="rect">
          <a:avLst/>
        </a:prstGeom>
      </xdr:spPr>
    </xdr:pic>
    <xdr:clientData/>
  </xdr:twoCellAnchor>
  <xdr:twoCellAnchor editAs="oneCell">
    <xdr:from>
      <xdr:col>11</xdr:col>
      <xdr:colOff>27536</xdr:colOff>
      <xdr:row>5</xdr:row>
      <xdr:rowOff>177214</xdr:rowOff>
    </xdr:from>
    <xdr:to>
      <xdr:col>11</xdr:col>
      <xdr:colOff>353786</xdr:colOff>
      <xdr:row>6</xdr:row>
      <xdr:rowOff>13606</xdr:rowOff>
    </xdr:to>
    <xdr:pic>
      <xdr:nvPicPr>
        <xdr:cNvPr id="8" name="Gráfico 7" descr="Cámara">
          <a:extLst>
            <a:ext uri="{FF2B5EF4-FFF2-40B4-BE49-F238E27FC236}">
              <a16:creationId xmlns:a16="http://schemas.microsoft.com/office/drawing/2014/main" id="{A38A5217-236A-4C3C-B426-A88E2389C3B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9021857" y="1551535"/>
          <a:ext cx="326250" cy="326250"/>
        </a:xfrm>
        <a:prstGeom prst="rect">
          <a:avLst/>
        </a:prstGeom>
      </xdr:spPr>
    </xdr:pic>
    <xdr:clientData/>
  </xdr:twoCellAnchor>
  <xdr:twoCellAnchor editAs="oneCell">
    <xdr:from>
      <xdr:col>14</xdr:col>
      <xdr:colOff>163285</xdr:colOff>
      <xdr:row>5</xdr:row>
      <xdr:rowOff>204108</xdr:rowOff>
    </xdr:from>
    <xdr:to>
      <xdr:col>14</xdr:col>
      <xdr:colOff>449035</xdr:colOff>
      <xdr:row>6</xdr:row>
      <xdr:rowOff>0</xdr:rowOff>
    </xdr:to>
    <xdr:pic>
      <xdr:nvPicPr>
        <xdr:cNvPr id="10" name="Gráfico 9" descr="Portapapeles">
          <a:extLst>
            <a:ext uri="{FF2B5EF4-FFF2-40B4-BE49-F238E27FC236}">
              <a16:creationId xmlns:a16="http://schemas.microsoft.com/office/drawing/2014/main" id="{947E3681-26FA-4565-8205-99CBF93B1D2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763249" y="1578429"/>
          <a:ext cx="285750" cy="285750"/>
        </a:xfrm>
        <a:prstGeom prst="rect">
          <a:avLst/>
        </a:prstGeom>
      </xdr:spPr>
    </xdr:pic>
    <xdr:clientData/>
  </xdr:twoCellAnchor>
  <xdr:twoCellAnchor editAs="oneCell">
    <xdr:from>
      <xdr:col>18</xdr:col>
      <xdr:colOff>125185</xdr:colOff>
      <xdr:row>5</xdr:row>
      <xdr:rowOff>193223</xdr:rowOff>
    </xdr:from>
    <xdr:to>
      <xdr:col>18</xdr:col>
      <xdr:colOff>410935</xdr:colOff>
      <xdr:row>5</xdr:row>
      <xdr:rowOff>478973</xdr:rowOff>
    </xdr:to>
    <xdr:pic>
      <xdr:nvPicPr>
        <xdr:cNvPr id="11" name="Gráfico 10" descr="Portapapeles">
          <a:extLst>
            <a:ext uri="{FF2B5EF4-FFF2-40B4-BE49-F238E27FC236}">
              <a16:creationId xmlns:a16="http://schemas.microsoft.com/office/drawing/2014/main" id="{289E748E-7A7F-4E3E-98F4-EBCC9200DEC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3827578" y="1567544"/>
          <a:ext cx="285750" cy="2857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38100</xdr:colOff>
      <xdr:row>49</xdr:row>
      <xdr:rowOff>38100</xdr:rowOff>
    </xdr:from>
    <xdr:to>
      <xdr:col>6</xdr:col>
      <xdr:colOff>781050</xdr:colOff>
      <xdr:row>66</xdr:row>
      <xdr:rowOff>133350</xdr:rowOff>
    </xdr:to>
    <xdr:graphicFrame macro="">
      <xdr:nvGraphicFramePr>
        <xdr:cNvPr id="2" name="Gráfico 2">
          <a:extLst>
            <a:ext uri="{FF2B5EF4-FFF2-40B4-BE49-F238E27FC236}">
              <a16:creationId xmlns:a16="http://schemas.microsoft.com/office/drawing/2014/main" id="{BC654CCA-5299-428F-B4A8-FA594E0F8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12700</xdr:colOff>
      <xdr:row>2</xdr:row>
      <xdr:rowOff>57149</xdr:rowOff>
    </xdr:from>
    <xdr:to>
      <xdr:col>11</xdr:col>
      <xdr:colOff>742950</xdr:colOff>
      <xdr:row>11</xdr:row>
      <xdr:rowOff>146050</xdr:rowOff>
    </xdr:to>
    <xdr:graphicFrame macro="">
      <xdr:nvGraphicFramePr>
        <xdr:cNvPr id="3" name="Gráfico 2">
          <a:extLst>
            <a:ext uri="{FF2B5EF4-FFF2-40B4-BE49-F238E27FC236}">
              <a16:creationId xmlns:a16="http://schemas.microsoft.com/office/drawing/2014/main" id="{DA6F9D5F-F2BE-44B4-88BF-25EA7169F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22225</xdr:colOff>
      <xdr:row>12</xdr:row>
      <xdr:rowOff>44450</xdr:rowOff>
    </xdr:from>
    <xdr:to>
      <xdr:col>11</xdr:col>
      <xdr:colOff>647700</xdr:colOff>
      <xdr:row>21</xdr:row>
      <xdr:rowOff>177800</xdr:rowOff>
    </xdr:to>
    <xdr:graphicFrame macro="">
      <xdr:nvGraphicFramePr>
        <xdr:cNvPr id="4" name="Gráfico 3">
          <a:extLst>
            <a:ext uri="{FF2B5EF4-FFF2-40B4-BE49-F238E27FC236}">
              <a16:creationId xmlns:a16="http://schemas.microsoft.com/office/drawing/2014/main" id="{28F61DFF-FE7E-4BFB-8862-EE7D7A1B1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105833</xdr:colOff>
      <xdr:row>22</xdr:row>
      <xdr:rowOff>57150</xdr:rowOff>
    </xdr:from>
    <xdr:to>
      <xdr:col>11</xdr:col>
      <xdr:colOff>736600</xdr:colOff>
      <xdr:row>31</xdr:row>
      <xdr:rowOff>177800</xdr:rowOff>
    </xdr:to>
    <xdr:graphicFrame macro="">
      <xdr:nvGraphicFramePr>
        <xdr:cNvPr id="5" name="Gráfico 4">
          <a:extLst>
            <a:ext uri="{FF2B5EF4-FFF2-40B4-BE49-F238E27FC236}">
              <a16:creationId xmlns:a16="http://schemas.microsoft.com/office/drawing/2014/main" id="{754447BA-4D87-4C6A-89E6-136BA3431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27517</xdr:colOff>
      <xdr:row>32</xdr:row>
      <xdr:rowOff>38100</xdr:rowOff>
    </xdr:from>
    <xdr:to>
      <xdr:col>11</xdr:col>
      <xdr:colOff>736600</xdr:colOff>
      <xdr:row>41</xdr:row>
      <xdr:rowOff>165100</xdr:rowOff>
    </xdr:to>
    <xdr:graphicFrame macro="">
      <xdr:nvGraphicFramePr>
        <xdr:cNvPr id="6" name="Gráfico 5">
          <a:extLst>
            <a:ext uri="{FF2B5EF4-FFF2-40B4-BE49-F238E27FC236}">
              <a16:creationId xmlns:a16="http://schemas.microsoft.com/office/drawing/2014/main" id="{CADDB994-F7CC-486F-A10D-811A26328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876300</xdr:colOff>
      <xdr:row>49</xdr:row>
      <xdr:rowOff>52917</xdr:rowOff>
    </xdr:from>
    <xdr:to>
      <xdr:col>12</xdr:col>
      <xdr:colOff>698500</xdr:colOff>
      <xdr:row>66</xdr:row>
      <xdr:rowOff>133350</xdr:rowOff>
    </xdr:to>
    <xdr:graphicFrame macro="">
      <xdr:nvGraphicFramePr>
        <xdr:cNvPr id="7" name="Gráfico 6">
          <a:extLst>
            <a:ext uri="{FF2B5EF4-FFF2-40B4-BE49-F238E27FC236}">
              <a16:creationId xmlns:a16="http://schemas.microsoft.com/office/drawing/2014/main" id="{9E3F4E86-CCC1-4839-A30A-AD68DC65E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7030A0"/>
  </sheetPr>
  <dimension ref="B1:K21"/>
  <sheetViews>
    <sheetView showGridLines="0" topLeftCell="A4" zoomScale="82" zoomScaleNormal="82" zoomScaleSheetLayoutView="70" workbookViewId="0">
      <selection activeCell="O15" sqref="O15"/>
    </sheetView>
  </sheetViews>
  <sheetFormatPr baseColWidth="10" defaultRowHeight="18.75" x14ac:dyDescent="0.3"/>
  <cols>
    <col min="1" max="1" width="5.5703125" style="1" customWidth="1"/>
    <col min="2" max="2" width="12.5703125" style="2" customWidth="1"/>
    <col min="3" max="11" width="12.5703125" style="1" customWidth="1"/>
    <col min="12" max="12" width="5.5703125" style="1" customWidth="1"/>
    <col min="13" max="16384" width="11.42578125" style="1"/>
  </cols>
  <sheetData>
    <row r="1" spans="2:11" ht="30" customHeight="1" x14ac:dyDescent="0.3"/>
    <row r="2" spans="2:11" ht="15" customHeight="1" x14ac:dyDescent="0.3"/>
    <row r="3" spans="2:11" ht="80.099999999999994" customHeight="1" x14ac:dyDescent="0.3">
      <c r="B3" s="190"/>
      <c r="C3" s="190"/>
      <c r="D3" s="190"/>
      <c r="E3" s="190"/>
      <c r="F3" s="190"/>
      <c r="G3" s="190"/>
      <c r="H3" s="190"/>
      <c r="I3" s="190"/>
      <c r="J3" s="190"/>
      <c r="K3" s="190"/>
    </row>
    <row r="4" spans="2:11" ht="9.9499999999999993" customHeight="1" thickBot="1" x14ac:dyDescent="0.35">
      <c r="B4" s="15"/>
      <c r="C4" s="15"/>
      <c r="D4" s="15"/>
      <c r="E4" s="15"/>
      <c r="F4" s="15"/>
      <c r="G4" s="15"/>
      <c r="H4" s="15"/>
      <c r="I4" s="15"/>
      <c r="J4" s="15"/>
      <c r="K4" s="15"/>
    </row>
    <row r="5" spans="2:11" ht="30" customHeight="1" x14ac:dyDescent="0.3">
      <c r="B5" s="3"/>
      <c r="C5" s="9"/>
      <c r="D5" s="9"/>
      <c r="E5" s="9"/>
      <c r="F5" s="9"/>
      <c r="G5" s="9"/>
      <c r="H5" s="9"/>
      <c r="I5" s="9"/>
      <c r="J5" s="9"/>
      <c r="K5" s="10"/>
    </row>
    <row r="6" spans="2:11" ht="30" customHeight="1" thickBot="1" x14ac:dyDescent="0.35">
      <c r="B6" s="5"/>
      <c r="C6" s="8"/>
      <c r="D6" s="8"/>
      <c r="E6" s="8"/>
      <c r="F6" s="8"/>
      <c r="G6" s="8"/>
      <c r="H6" s="8"/>
      <c r="I6" s="8"/>
      <c r="J6" s="8"/>
      <c r="K6" s="11"/>
    </row>
    <row r="7" spans="2:11" ht="9.9499999999999993" customHeight="1" thickBot="1" x14ac:dyDescent="0.35">
      <c r="B7" s="7"/>
      <c r="C7" s="7"/>
      <c r="D7" s="7"/>
      <c r="E7" s="7"/>
      <c r="F7" s="7"/>
      <c r="G7" s="7"/>
      <c r="H7" s="7"/>
      <c r="I7" s="7"/>
      <c r="J7" s="7"/>
      <c r="K7" s="7"/>
    </row>
    <row r="8" spans="2:11" ht="45" customHeight="1" thickBot="1" x14ac:dyDescent="0.35">
      <c r="B8" s="13"/>
      <c r="C8" s="7"/>
      <c r="D8" s="7"/>
      <c r="E8" s="7"/>
      <c r="F8" s="7"/>
      <c r="G8" s="7"/>
      <c r="H8" s="7"/>
      <c r="I8" s="7"/>
      <c r="J8" s="7"/>
      <c r="K8" s="14"/>
    </row>
    <row r="9" spans="2:11" ht="9.9499999999999993" customHeight="1" thickBot="1" x14ac:dyDescent="0.35">
      <c r="B9" s="8"/>
      <c r="C9" s="6"/>
      <c r="D9" s="6"/>
      <c r="E9" s="6"/>
      <c r="F9" s="6"/>
      <c r="G9" s="6"/>
      <c r="H9" s="6"/>
      <c r="I9" s="6"/>
      <c r="J9" s="6"/>
      <c r="K9" s="6"/>
    </row>
    <row r="10" spans="2:11" ht="30" customHeight="1" x14ac:dyDescent="0.3">
      <c r="B10" s="191"/>
      <c r="C10" s="192"/>
      <c r="D10" s="192"/>
      <c r="E10" s="192"/>
      <c r="F10" s="192"/>
      <c r="G10" s="192"/>
      <c r="H10" s="192"/>
      <c r="I10" s="192"/>
      <c r="J10" s="192"/>
      <c r="K10" s="193"/>
    </row>
    <row r="11" spans="2:11" ht="30" customHeight="1" x14ac:dyDescent="0.3">
      <c r="B11" s="194"/>
      <c r="C11" s="190"/>
      <c r="D11" s="190"/>
      <c r="E11" s="190"/>
      <c r="F11" s="190"/>
      <c r="G11" s="190"/>
      <c r="H11" s="190"/>
      <c r="I11" s="190"/>
      <c r="J11" s="190"/>
      <c r="K11" s="195"/>
    </row>
    <row r="12" spans="2:11" ht="30" customHeight="1" thickBot="1" x14ac:dyDescent="0.35">
      <c r="B12" s="196"/>
      <c r="C12" s="197"/>
      <c r="D12" s="197"/>
      <c r="E12" s="197"/>
      <c r="F12" s="197"/>
      <c r="G12" s="197"/>
      <c r="H12" s="197"/>
      <c r="I12" s="197"/>
      <c r="J12" s="197"/>
      <c r="K12" s="198"/>
    </row>
    <row r="13" spans="2:11" ht="9.9499999999999993" customHeight="1" thickBot="1" x14ac:dyDescent="0.35">
      <c r="B13" s="12"/>
      <c r="C13" s="6"/>
      <c r="D13" s="6"/>
      <c r="E13" s="6"/>
      <c r="F13" s="6"/>
      <c r="G13" s="6"/>
      <c r="H13" s="6"/>
      <c r="I13" s="6"/>
      <c r="J13" s="6"/>
      <c r="K13" s="6"/>
    </row>
    <row r="14" spans="2:11" ht="30" customHeight="1" x14ac:dyDescent="0.3">
      <c r="B14" s="191"/>
      <c r="C14" s="192"/>
      <c r="D14" s="192"/>
      <c r="E14" s="192"/>
      <c r="F14" s="192"/>
      <c r="G14" s="192"/>
      <c r="H14" s="192"/>
      <c r="I14" s="192"/>
      <c r="J14" s="192"/>
      <c r="K14" s="193"/>
    </row>
    <row r="15" spans="2:11" ht="30" customHeight="1" x14ac:dyDescent="0.3">
      <c r="B15" s="194"/>
      <c r="C15" s="190"/>
      <c r="D15" s="190"/>
      <c r="E15" s="190"/>
      <c r="F15" s="190"/>
      <c r="G15" s="190"/>
      <c r="H15" s="190"/>
      <c r="I15" s="190"/>
      <c r="J15" s="190"/>
      <c r="K15" s="195"/>
    </row>
    <row r="16" spans="2:11" ht="30" customHeight="1" thickBot="1" x14ac:dyDescent="0.35">
      <c r="B16" s="196"/>
      <c r="C16" s="197"/>
      <c r="D16" s="197"/>
      <c r="E16" s="197"/>
      <c r="F16" s="197"/>
      <c r="G16" s="197"/>
      <c r="H16" s="197"/>
      <c r="I16" s="197"/>
      <c r="J16" s="197"/>
      <c r="K16" s="198"/>
    </row>
    <row r="17" spans="2:11" ht="9.9499999999999993" customHeight="1" thickBot="1" x14ac:dyDescent="0.35">
      <c r="B17" s="9"/>
      <c r="C17" s="4"/>
      <c r="D17" s="4"/>
      <c r="E17" s="4"/>
      <c r="F17" s="4"/>
      <c r="G17" s="4"/>
      <c r="H17" s="4"/>
      <c r="I17" s="4"/>
      <c r="J17" s="4"/>
      <c r="K17" s="4"/>
    </row>
    <row r="18" spans="2:11" ht="30" customHeight="1" x14ac:dyDescent="0.3">
      <c r="B18" s="199" t="s">
        <v>143</v>
      </c>
      <c r="C18" s="200"/>
      <c r="D18" s="200"/>
      <c r="E18" s="200"/>
      <c r="F18" s="200"/>
      <c r="G18" s="200"/>
      <c r="H18" s="200"/>
      <c r="I18" s="200"/>
      <c r="J18" s="200"/>
      <c r="K18" s="201"/>
    </row>
    <row r="19" spans="2:11" ht="35.450000000000003" customHeight="1" thickBot="1" x14ac:dyDescent="0.35">
      <c r="B19" s="202"/>
      <c r="C19" s="203"/>
      <c r="D19" s="203"/>
      <c r="E19" s="203"/>
      <c r="F19" s="203"/>
      <c r="G19" s="203"/>
      <c r="H19" s="203"/>
      <c r="I19" s="203"/>
      <c r="J19" s="203"/>
      <c r="K19" s="204"/>
    </row>
    <row r="20" spans="2:11" ht="30" customHeight="1" x14ac:dyDescent="0.3"/>
    <row r="21" spans="2:11" ht="30" customHeight="1" x14ac:dyDescent="0.3"/>
  </sheetData>
  <mergeCells count="4">
    <mergeCell ref="B3:K3"/>
    <mergeCell ref="B10:K12"/>
    <mergeCell ref="B14:K16"/>
    <mergeCell ref="B18:K19"/>
  </mergeCells>
  <phoneticPr fontId="0" type="noConversion"/>
  <printOptions horizontalCentered="1"/>
  <pageMargins left="0.19685039370078741" right="0.19685039370078741" top="0.19685039370078741" bottom="0.19685039370078741" header="0.23622047244094491" footer="0.1574803149606299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7030A0"/>
  </sheetPr>
  <dimension ref="A1:Y40"/>
  <sheetViews>
    <sheetView showGridLines="0" view="pageBreakPreview" topLeftCell="A22" zoomScale="60" zoomScaleNormal="75" workbookViewId="0">
      <selection activeCell="Q27" sqref="Q27:U27"/>
    </sheetView>
  </sheetViews>
  <sheetFormatPr baseColWidth="10" defaultRowHeight="15.75" x14ac:dyDescent="0.25"/>
  <cols>
    <col min="1" max="1" width="4.140625" style="52" customWidth="1"/>
    <col min="2" max="2" width="13.42578125" style="49" customWidth="1"/>
    <col min="3" max="6" width="8.7109375" style="49" customWidth="1"/>
    <col min="7" max="7" width="7.140625" style="49" bestFit="1" customWidth="1"/>
    <col min="8" max="8" width="7.5703125" style="49" bestFit="1" customWidth="1"/>
    <col min="9" max="9" width="7.42578125" style="49" customWidth="1"/>
    <col min="10" max="10" width="7" style="50" bestFit="1" customWidth="1"/>
    <col min="11" max="11" width="53.140625" style="49" customWidth="1"/>
    <col min="12" max="13" width="6.7109375" style="49" customWidth="1"/>
    <col min="14" max="16" width="12.7109375" style="49" customWidth="1"/>
    <col min="17" max="17" width="10.7109375" style="49" customWidth="1"/>
    <col min="18" max="18" width="10.42578125" style="49" customWidth="1"/>
    <col min="19" max="19" width="10.140625" style="49" customWidth="1"/>
    <col min="20" max="21" width="9.28515625" style="49" customWidth="1"/>
    <col min="22" max="22" width="4.28515625" style="49" customWidth="1"/>
    <col min="23" max="23" width="11.42578125" style="49"/>
    <col min="24" max="25" width="11.42578125" style="51"/>
    <col min="26" max="16384" width="11.42578125" style="49"/>
  </cols>
  <sheetData>
    <row r="1" spans="1:25" ht="45" customHeight="1" x14ac:dyDescent="0.25">
      <c r="A1" s="47"/>
      <c r="B1" s="48"/>
      <c r="C1" s="48"/>
    </row>
    <row r="2" spans="1:25" x14ac:dyDescent="0.25">
      <c r="C2" s="53" t="s">
        <v>145</v>
      </c>
      <c r="D2" s="184" t="s">
        <v>151</v>
      </c>
      <c r="E2" s="185"/>
      <c r="F2" s="186"/>
    </row>
    <row r="3" spans="1:25" ht="22.5" customHeight="1" x14ac:dyDescent="0.25">
      <c r="C3" s="54" t="s">
        <v>144</v>
      </c>
      <c r="D3" s="184" t="s">
        <v>156</v>
      </c>
      <c r="E3" s="185"/>
      <c r="F3" s="186"/>
    </row>
    <row r="4" spans="1:25" s="55" customFormat="1" ht="5.25" customHeight="1" x14ac:dyDescent="0.35">
      <c r="A4" s="189"/>
      <c r="B4" s="189"/>
      <c r="C4" s="55" t="s">
        <v>172</v>
      </c>
      <c r="D4" s="56"/>
      <c r="E4" s="56"/>
      <c r="F4" s="56"/>
      <c r="J4" s="57"/>
      <c r="L4" s="58"/>
      <c r="X4" s="59"/>
      <c r="Y4" s="59"/>
    </row>
    <row r="5" spans="1:25" ht="18.75" customHeight="1" x14ac:dyDescent="0.25">
      <c r="A5" s="60"/>
      <c r="B5" s="60"/>
      <c r="C5" s="156" t="s">
        <v>146</v>
      </c>
      <c r="D5" s="157"/>
      <c r="E5" s="157"/>
      <c r="F5" s="158"/>
      <c r="G5" s="159" t="s">
        <v>150</v>
      </c>
      <c r="H5" s="160"/>
      <c r="I5" s="160"/>
      <c r="J5" s="160"/>
      <c r="K5" s="161"/>
      <c r="L5" s="165" t="s">
        <v>147</v>
      </c>
      <c r="M5" s="166"/>
      <c r="N5" s="166"/>
      <c r="O5" s="166"/>
      <c r="P5" s="167"/>
      <c r="Q5" s="129" t="s">
        <v>148</v>
      </c>
      <c r="R5" s="130"/>
      <c r="S5" s="130"/>
      <c r="T5" s="130"/>
      <c r="U5" s="131"/>
    </row>
    <row r="6" spans="1:25" ht="39" customHeight="1" thickBot="1" x14ac:dyDescent="0.3">
      <c r="A6" s="187" t="s">
        <v>149</v>
      </c>
      <c r="B6" s="188"/>
      <c r="C6" s="61" t="s">
        <v>1</v>
      </c>
      <c r="D6" s="61" t="s">
        <v>2</v>
      </c>
      <c r="E6" s="61" t="s">
        <v>3</v>
      </c>
      <c r="F6" s="61" t="s">
        <v>4</v>
      </c>
      <c r="G6" s="162"/>
      <c r="H6" s="163"/>
      <c r="I6" s="163"/>
      <c r="J6" s="163"/>
      <c r="K6" s="164"/>
      <c r="L6" s="62"/>
      <c r="M6" s="63"/>
      <c r="N6" s="132"/>
      <c r="O6" s="132"/>
      <c r="P6" s="133"/>
      <c r="Q6" s="134"/>
      <c r="R6" s="135"/>
      <c r="S6" s="135"/>
      <c r="T6" s="135"/>
      <c r="U6" s="136"/>
      <c r="X6" s="51">
        <v>0</v>
      </c>
      <c r="Y6" s="51">
        <v>9</v>
      </c>
    </row>
    <row r="7" spans="1:25" s="66" customFormat="1" ht="30" customHeight="1" thickTop="1" x14ac:dyDescent="0.2">
      <c r="A7" s="234" t="s">
        <v>5</v>
      </c>
      <c r="B7" s="231" t="s">
        <v>45</v>
      </c>
      <c r="C7" s="64" t="s">
        <v>145</v>
      </c>
      <c r="D7" s="64"/>
      <c r="E7" s="64"/>
      <c r="F7" s="64"/>
      <c r="G7" s="215" t="s">
        <v>29</v>
      </c>
      <c r="H7" s="216"/>
      <c r="I7" s="216"/>
      <c r="J7" s="216"/>
      <c r="K7" s="230"/>
      <c r="L7" s="65"/>
      <c r="M7" s="65"/>
      <c r="N7" s="212"/>
      <c r="O7" s="213"/>
      <c r="P7" s="214"/>
      <c r="Q7" s="215"/>
      <c r="R7" s="216"/>
      <c r="S7" s="216"/>
      <c r="T7" s="216"/>
      <c r="U7" s="217"/>
      <c r="X7" s="51">
        <v>1</v>
      </c>
      <c r="Y7" s="51">
        <v>8</v>
      </c>
    </row>
    <row r="8" spans="1:25" s="66" customFormat="1" ht="30" customHeight="1" x14ac:dyDescent="0.2">
      <c r="A8" s="235"/>
      <c r="B8" s="232"/>
      <c r="C8" s="67" t="s">
        <v>145</v>
      </c>
      <c r="D8" s="67"/>
      <c r="E8" s="67"/>
      <c r="F8" s="67"/>
      <c r="G8" s="227" t="s">
        <v>28</v>
      </c>
      <c r="H8" s="228"/>
      <c r="I8" s="228"/>
      <c r="J8" s="228"/>
      <c r="K8" s="229"/>
      <c r="L8" s="68"/>
      <c r="M8" s="68"/>
      <c r="N8" s="209"/>
      <c r="O8" s="210"/>
      <c r="P8" s="211"/>
      <c r="Q8" s="227"/>
      <c r="R8" s="228"/>
      <c r="S8" s="228"/>
      <c r="T8" s="228"/>
      <c r="U8" s="237"/>
      <c r="X8" s="51">
        <v>2</v>
      </c>
      <c r="Y8" s="51">
        <v>8</v>
      </c>
    </row>
    <row r="9" spans="1:25" s="66" customFormat="1" ht="30" customHeight="1" x14ac:dyDescent="0.2">
      <c r="A9" s="235"/>
      <c r="B9" s="232"/>
      <c r="C9" s="67" t="s">
        <v>145</v>
      </c>
      <c r="D9" s="67"/>
      <c r="E9" s="67"/>
      <c r="F9" s="67"/>
      <c r="G9" s="227" t="s">
        <v>30</v>
      </c>
      <c r="H9" s="228"/>
      <c r="I9" s="228"/>
      <c r="J9" s="228"/>
      <c r="K9" s="229"/>
      <c r="L9" s="68"/>
      <c r="M9" s="68"/>
      <c r="N9" s="209"/>
      <c r="O9" s="210"/>
      <c r="P9" s="211"/>
      <c r="Q9" s="227"/>
      <c r="R9" s="228"/>
      <c r="S9" s="228"/>
      <c r="T9" s="228"/>
      <c r="U9" s="237"/>
      <c r="X9" s="51">
        <v>3</v>
      </c>
      <c r="Y9" s="51">
        <v>8</v>
      </c>
    </row>
    <row r="10" spans="1:25" s="66" customFormat="1" ht="30" customHeight="1" thickBot="1" x14ac:dyDescent="0.25">
      <c r="A10" s="236"/>
      <c r="B10" s="233"/>
      <c r="C10" s="69"/>
      <c r="D10" s="69"/>
      <c r="E10" s="69"/>
      <c r="F10" s="69"/>
      <c r="G10" s="224" t="s">
        <v>164</v>
      </c>
      <c r="H10" s="225"/>
      <c r="I10" s="225"/>
      <c r="J10" s="225"/>
      <c r="K10" s="226"/>
      <c r="L10" s="70"/>
      <c r="M10" s="70"/>
      <c r="N10" s="218"/>
      <c r="O10" s="219"/>
      <c r="P10" s="220"/>
      <c r="Q10" s="224"/>
      <c r="R10" s="225"/>
      <c r="S10" s="225"/>
      <c r="T10" s="225"/>
      <c r="U10" s="238"/>
      <c r="X10" s="51">
        <v>4</v>
      </c>
      <c r="Y10" s="51">
        <v>7</v>
      </c>
    </row>
    <row r="11" spans="1:25" s="66" customFormat="1" ht="30" customHeight="1" thickTop="1" x14ac:dyDescent="0.2">
      <c r="A11" s="234" t="s">
        <v>6</v>
      </c>
      <c r="B11" s="231" t="s">
        <v>46</v>
      </c>
      <c r="C11" s="64" t="s">
        <v>145</v>
      </c>
      <c r="D11" s="64"/>
      <c r="E11" s="64"/>
      <c r="F11" s="64"/>
      <c r="G11" s="215" t="s">
        <v>31</v>
      </c>
      <c r="H11" s="216"/>
      <c r="I11" s="216"/>
      <c r="J11" s="216"/>
      <c r="K11" s="230"/>
      <c r="L11" s="65"/>
      <c r="M11" s="65"/>
      <c r="N11" s="212"/>
      <c r="O11" s="213"/>
      <c r="P11" s="214"/>
      <c r="Q11" s="181"/>
      <c r="R11" s="181"/>
      <c r="S11" s="181"/>
      <c r="T11" s="181"/>
      <c r="U11" s="208"/>
      <c r="X11" s="51">
        <v>5</v>
      </c>
      <c r="Y11" s="51">
        <v>7</v>
      </c>
    </row>
    <row r="12" spans="1:25" s="66" customFormat="1" ht="30" customHeight="1" x14ac:dyDescent="0.2">
      <c r="A12" s="235"/>
      <c r="B12" s="232"/>
      <c r="C12" s="67" t="s">
        <v>145</v>
      </c>
      <c r="D12" s="67"/>
      <c r="E12" s="67"/>
      <c r="F12" s="67"/>
      <c r="G12" s="227" t="s">
        <v>32</v>
      </c>
      <c r="H12" s="228"/>
      <c r="I12" s="228"/>
      <c r="J12" s="228"/>
      <c r="K12" s="229"/>
      <c r="L12" s="68"/>
      <c r="M12" s="68"/>
      <c r="N12" s="209"/>
      <c r="O12" s="210"/>
      <c r="P12" s="211"/>
      <c r="Q12" s="179"/>
      <c r="R12" s="179"/>
      <c r="S12" s="179"/>
      <c r="T12" s="179"/>
      <c r="U12" s="205"/>
      <c r="X12" s="51">
        <v>6</v>
      </c>
      <c r="Y12" s="51">
        <v>7</v>
      </c>
    </row>
    <row r="13" spans="1:25" s="66" customFormat="1" ht="30" customHeight="1" x14ac:dyDescent="0.2">
      <c r="A13" s="235"/>
      <c r="B13" s="232"/>
      <c r="C13" s="67" t="s">
        <v>145</v>
      </c>
      <c r="D13" s="67"/>
      <c r="E13" s="67"/>
      <c r="F13" s="67"/>
      <c r="G13" s="227" t="s">
        <v>33</v>
      </c>
      <c r="H13" s="228"/>
      <c r="I13" s="228"/>
      <c r="J13" s="228"/>
      <c r="K13" s="229"/>
      <c r="L13" s="68"/>
      <c r="M13" s="68"/>
      <c r="N13" s="209"/>
      <c r="O13" s="210"/>
      <c r="P13" s="211"/>
      <c r="Q13" s="179"/>
      <c r="R13" s="179"/>
      <c r="S13" s="179"/>
      <c r="T13" s="179"/>
      <c r="U13" s="205"/>
      <c r="X13" s="51">
        <v>7</v>
      </c>
      <c r="Y13" s="51">
        <v>7</v>
      </c>
    </row>
    <row r="14" spans="1:25" s="66" customFormat="1" ht="30" customHeight="1" x14ac:dyDescent="0.2">
      <c r="A14" s="235"/>
      <c r="B14" s="232"/>
      <c r="C14" s="67" t="s">
        <v>145</v>
      </c>
      <c r="D14" s="67"/>
      <c r="E14" s="67"/>
      <c r="F14" s="67"/>
      <c r="G14" s="227" t="s">
        <v>47</v>
      </c>
      <c r="H14" s="228"/>
      <c r="I14" s="228"/>
      <c r="J14" s="228"/>
      <c r="K14" s="229"/>
      <c r="L14" s="68"/>
      <c r="M14" s="68"/>
      <c r="N14" s="209"/>
      <c r="O14" s="210"/>
      <c r="P14" s="211"/>
      <c r="Q14" s="179"/>
      <c r="R14" s="179"/>
      <c r="S14" s="179"/>
      <c r="T14" s="179"/>
      <c r="U14" s="205"/>
      <c r="X14" s="51">
        <v>8</v>
      </c>
      <c r="Y14" s="51">
        <v>6</v>
      </c>
    </row>
    <row r="15" spans="1:25" s="66" customFormat="1" ht="30" customHeight="1" x14ac:dyDescent="0.2">
      <c r="A15" s="235"/>
      <c r="B15" s="232"/>
      <c r="C15" s="67" t="s">
        <v>145</v>
      </c>
      <c r="D15" s="67"/>
      <c r="E15" s="67"/>
      <c r="F15" s="67"/>
      <c r="G15" s="227" t="s">
        <v>34</v>
      </c>
      <c r="H15" s="228"/>
      <c r="I15" s="228"/>
      <c r="J15" s="228"/>
      <c r="K15" s="229"/>
      <c r="L15" s="68"/>
      <c r="M15" s="68"/>
      <c r="N15" s="209" t="s">
        <v>180</v>
      </c>
      <c r="O15" s="210"/>
      <c r="P15" s="211"/>
      <c r="Q15" s="179" t="s">
        <v>181</v>
      </c>
      <c r="R15" s="179"/>
      <c r="S15" s="179"/>
      <c r="T15" s="179"/>
      <c r="U15" s="205"/>
      <c r="X15" s="51">
        <v>9</v>
      </c>
      <c r="Y15" s="51">
        <v>6</v>
      </c>
    </row>
    <row r="16" spans="1:25" s="66" customFormat="1" ht="30" customHeight="1" x14ac:dyDescent="0.2">
      <c r="A16" s="235"/>
      <c r="B16" s="232"/>
      <c r="C16" s="67" t="s">
        <v>145</v>
      </c>
      <c r="D16" s="67"/>
      <c r="E16" s="67"/>
      <c r="F16" s="67"/>
      <c r="G16" s="227" t="s">
        <v>35</v>
      </c>
      <c r="H16" s="228"/>
      <c r="I16" s="228"/>
      <c r="J16" s="228"/>
      <c r="K16" s="229"/>
      <c r="L16" s="68"/>
      <c r="M16" s="68"/>
      <c r="N16" s="209"/>
      <c r="O16" s="210"/>
      <c r="P16" s="211"/>
      <c r="Q16" s="179"/>
      <c r="R16" s="179"/>
      <c r="S16" s="179"/>
      <c r="T16" s="179"/>
      <c r="U16" s="205"/>
      <c r="X16" s="51">
        <v>10</v>
      </c>
      <c r="Y16" s="51">
        <v>6</v>
      </c>
    </row>
    <row r="17" spans="1:25" s="66" customFormat="1" ht="30" customHeight="1" thickBot="1" x14ac:dyDescent="0.25">
      <c r="A17" s="236"/>
      <c r="B17" s="233"/>
      <c r="C17" s="69" t="s">
        <v>145</v>
      </c>
      <c r="D17" s="69"/>
      <c r="E17" s="69"/>
      <c r="F17" s="69"/>
      <c r="G17" s="224" t="s">
        <v>141</v>
      </c>
      <c r="H17" s="225"/>
      <c r="I17" s="225"/>
      <c r="J17" s="225"/>
      <c r="K17" s="226"/>
      <c r="L17" s="70"/>
      <c r="M17" s="70"/>
      <c r="N17" s="218"/>
      <c r="O17" s="219"/>
      <c r="P17" s="220"/>
      <c r="Q17" s="206"/>
      <c r="R17" s="206"/>
      <c r="S17" s="206"/>
      <c r="T17" s="206"/>
      <c r="U17" s="207"/>
      <c r="X17" s="51">
        <v>11</v>
      </c>
      <c r="Y17" s="51">
        <v>6</v>
      </c>
    </row>
    <row r="18" spans="1:25" s="66" customFormat="1" ht="30" customHeight="1" thickTop="1" x14ac:dyDescent="0.2">
      <c r="A18" s="234" t="s">
        <v>7</v>
      </c>
      <c r="B18" s="231" t="s">
        <v>48</v>
      </c>
      <c r="C18" s="64" t="s">
        <v>145</v>
      </c>
      <c r="D18" s="64"/>
      <c r="E18" s="64"/>
      <c r="F18" s="64"/>
      <c r="G18" s="215" t="s">
        <v>36</v>
      </c>
      <c r="H18" s="216"/>
      <c r="I18" s="216"/>
      <c r="J18" s="216"/>
      <c r="K18" s="230"/>
      <c r="L18" s="65"/>
      <c r="M18" s="65"/>
      <c r="N18" s="212"/>
      <c r="O18" s="213"/>
      <c r="P18" s="214"/>
      <c r="Q18" s="181"/>
      <c r="R18" s="181"/>
      <c r="S18" s="181"/>
      <c r="T18" s="181"/>
      <c r="U18" s="208"/>
      <c r="X18" s="51">
        <v>12</v>
      </c>
      <c r="Y18" s="51">
        <v>5</v>
      </c>
    </row>
    <row r="19" spans="1:25" s="66" customFormat="1" ht="30" customHeight="1" x14ac:dyDescent="0.2">
      <c r="A19" s="235"/>
      <c r="B19" s="232"/>
      <c r="C19" s="67" t="s">
        <v>145</v>
      </c>
      <c r="D19" s="67"/>
      <c r="E19" s="67"/>
      <c r="F19" s="67"/>
      <c r="G19" s="227" t="s">
        <v>37</v>
      </c>
      <c r="H19" s="228"/>
      <c r="I19" s="228"/>
      <c r="J19" s="228"/>
      <c r="K19" s="229"/>
      <c r="L19" s="68"/>
      <c r="M19" s="68"/>
      <c r="N19" s="221"/>
      <c r="O19" s="222"/>
      <c r="P19" s="223"/>
      <c r="Q19" s="179"/>
      <c r="R19" s="179"/>
      <c r="S19" s="179"/>
      <c r="T19" s="179"/>
      <c r="U19" s="205"/>
      <c r="X19" s="51">
        <v>13</v>
      </c>
      <c r="Y19" s="51">
        <v>5</v>
      </c>
    </row>
    <row r="20" spans="1:25" s="66" customFormat="1" ht="30" customHeight="1" x14ac:dyDescent="0.2">
      <c r="A20" s="235"/>
      <c r="B20" s="232"/>
      <c r="C20" s="67" t="s">
        <v>145</v>
      </c>
      <c r="D20" s="67"/>
      <c r="E20" s="67"/>
      <c r="F20" s="67"/>
      <c r="G20" s="227" t="s">
        <v>38</v>
      </c>
      <c r="H20" s="228"/>
      <c r="I20" s="228"/>
      <c r="J20" s="228"/>
      <c r="K20" s="229"/>
      <c r="L20" s="68"/>
      <c r="M20" s="68"/>
      <c r="N20" s="209"/>
      <c r="O20" s="210"/>
      <c r="P20" s="211"/>
      <c r="Q20" s="179"/>
      <c r="R20" s="179"/>
      <c r="S20" s="179"/>
      <c r="T20" s="179"/>
      <c r="U20" s="205"/>
      <c r="X20" s="51">
        <v>14</v>
      </c>
      <c r="Y20" s="51">
        <v>5</v>
      </c>
    </row>
    <row r="21" spans="1:25" s="66" customFormat="1" ht="30" customHeight="1" x14ac:dyDescent="0.2">
      <c r="A21" s="235"/>
      <c r="B21" s="232"/>
      <c r="C21" s="67" t="s">
        <v>145</v>
      </c>
      <c r="D21" s="67"/>
      <c r="E21" s="67"/>
      <c r="F21" s="67"/>
      <c r="G21" s="227" t="s">
        <v>39</v>
      </c>
      <c r="H21" s="228"/>
      <c r="I21" s="228"/>
      <c r="J21" s="228"/>
      <c r="K21" s="229"/>
      <c r="L21" s="68"/>
      <c r="M21" s="68"/>
      <c r="N21" s="209"/>
      <c r="O21" s="210"/>
      <c r="P21" s="211"/>
      <c r="Q21" s="179"/>
      <c r="R21" s="179"/>
      <c r="S21" s="179"/>
      <c r="T21" s="179"/>
      <c r="U21" s="205"/>
      <c r="X21" s="51">
        <v>15</v>
      </c>
      <c r="Y21" s="51">
        <v>4</v>
      </c>
    </row>
    <row r="22" spans="1:25" s="66" customFormat="1" ht="30" customHeight="1" thickBot="1" x14ac:dyDescent="0.25">
      <c r="A22" s="236"/>
      <c r="B22" s="233"/>
      <c r="C22" s="69"/>
      <c r="D22" s="69"/>
      <c r="E22" s="69"/>
      <c r="F22" s="69"/>
      <c r="G22" s="224" t="s">
        <v>164</v>
      </c>
      <c r="H22" s="225"/>
      <c r="I22" s="225"/>
      <c r="J22" s="225"/>
      <c r="K22" s="226"/>
      <c r="L22" s="70"/>
      <c r="M22" s="70"/>
      <c r="N22" s="218"/>
      <c r="O22" s="219"/>
      <c r="P22" s="220"/>
      <c r="Q22" s="206"/>
      <c r="R22" s="206"/>
      <c r="S22" s="206"/>
      <c r="T22" s="206"/>
      <c r="U22" s="207"/>
      <c r="X22" s="51">
        <v>16</v>
      </c>
      <c r="Y22" s="51">
        <v>4</v>
      </c>
    </row>
    <row r="23" spans="1:25" s="66" customFormat="1" ht="30" customHeight="1" thickTop="1" x14ac:dyDescent="0.2">
      <c r="A23" s="234" t="s">
        <v>8</v>
      </c>
      <c r="B23" s="231" t="s">
        <v>49</v>
      </c>
      <c r="C23" s="64" t="s">
        <v>145</v>
      </c>
      <c r="D23" s="64"/>
      <c r="E23" s="64"/>
      <c r="F23" s="64"/>
      <c r="G23" s="215" t="s">
        <v>40</v>
      </c>
      <c r="H23" s="216"/>
      <c r="I23" s="216"/>
      <c r="J23" s="216"/>
      <c r="K23" s="230"/>
      <c r="L23" s="65"/>
      <c r="M23" s="65"/>
      <c r="N23" s="212"/>
      <c r="O23" s="213"/>
      <c r="P23" s="214"/>
      <c r="Q23" s="181"/>
      <c r="R23" s="181"/>
      <c r="S23" s="181"/>
      <c r="T23" s="181"/>
      <c r="U23" s="208"/>
      <c r="X23" s="51">
        <v>17</v>
      </c>
      <c r="Y23" s="51">
        <v>4</v>
      </c>
    </row>
    <row r="24" spans="1:25" s="66" customFormat="1" ht="30" customHeight="1" x14ac:dyDescent="0.2">
      <c r="A24" s="235"/>
      <c r="B24" s="232"/>
      <c r="C24" s="67" t="s">
        <v>145</v>
      </c>
      <c r="D24" s="67"/>
      <c r="E24" s="67"/>
      <c r="F24" s="67"/>
      <c r="G24" s="227" t="s">
        <v>41</v>
      </c>
      <c r="H24" s="228"/>
      <c r="I24" s="228"/>
      <c r="J24" s="228"/>
      <c r="K24" s="229"/>
      <c r="L24" s="68"/>
      <c r="M24" s="68"/>
      <c r="N24" s="209"/>
      <c r="O24" s="210"/>
      <c r="P24" s="211"/>
      <c r="Q24" s="179"/>
      <c r="R24" s="179"/>
      <c r="S24" s="179"/>
      <c r="T24" s="179"/>
      <c r="U24" s="205"/>
      <c r="X24" s="51">
        <v>18</v>
      </c>
      <c r="Y24" s="51">
        <v>3</v>
      </c>
    </row>
    <row r="25" spans="1:25" s="66" customFormat="1" ht="30" customHeight="1" x14ac:dyDescent="0.2">
      <c r="A25" s="235"/>
      <c r="B25" s="232"/>
      <c r="C25" s="67" t="s">
        <v>145</v>
      </c>
      <c r="D25" s="67"/>
      <c r="E25" s="67"/>
      <c r="F25" s="67"/>
      <c r="G25" s="227" t="s">
        <v>42</v>
      </c>
      <c r="H25" s="228"/>
      <c r="I25" s="228"/>
      <c r="J25" s="228"/>
      <c r="K25" s="229"/>
      <c r="L25" s="68"/>
      <c r="M25" s="68"/>
      <c r="N25" s="209"/>
      <c r="O25" s="210"/>
      <c r="P25" s="211"/>
      <c r="Q25" s="179"/>
      <c r="R25" s="179"/>
      <c r="S25" s="179"/>
      <c r="T25" s="179"/>
      <c r="U25" s="205"/>
      <c r="X25" s="51">
        <v>19</v>
      </c>
      <c r="Y25" s="51">
        <v>3</v>
      </c>
    </row>
    <row r="26" spans="1:25" s="66" customFormat="1" ht="30" customHeight="1" x14ac:dyDescent="0.2">
      <c r="A26" s="235"/>
      <c r="B26" s="232"/>
      <c r="C26" s="67" t="s">
        <v>145</v>
      </c>
      <c r="D26" s="67"/>
      <c r="E26" s="67"/>
      <c r="F26" s="67"/>
      <c r="G26" s="227" t="s">
        <v>43</v>
      </c>
      <c r="H26" s="228"/>
      <c r="I26" s="228"/>
      <c r="J26" s="228"/>
      <c r="K26" s="229"/>
      <c r="L26" s="68"/>
      <c r="M26" s="68"/>
      <c r="N26" s="209"/>
      <c r="O26" s="210"/>
      <c r="P26" s="211"/>
      <c r="Q26" s="179"/>
      <c r="R26" s="179"/>
      <c r="S26" s="179"/>
      <c r="T26" s="179"/>
      <c r="U26" s="205"/>
      <c r="X26" s="51">
        <v>20</v>
      </c>
      <c r="Y26" s="51">
        <v>3</v>
      </c>
    </row>
    <row r="27" spans="1:25" s="66" customFormat="1" ht="30" customHeight="1" x14ac:dyDescent="0.2">
      <c r="A27" s="235"/>
      <c r="B27" s="232"/>
      <c r="C27" s="67" t="s">
        <v>145</v>
      </c>
      <c r="D27" s="67"/>
      <c r="E27" s="67"/>
      <c r="F27" s="67"/>
      <c r="G27" s="227" t="s">
        <v>51</v>
      </c>
      <c r="H27" s="228"/>
      <c r="I27" s="228"/>
      <c r="J27" s="228"/>
      <c r="K27" s="229"/>
      <c r="L27" s="68"/>
      <c r="M27" s="68"/>
      <c r="N27" s="209"/>
      <c r="O27" s="210"/>
      <c r="P27" s="211"/>
      <c r="Q27" s="179"/>
      <c r="R27" s="179"/>
      <c r="S27" s="179"/>
      <c r="T27" s="179"/>
      <c r="U27" s="205"/>
      <c r="X27" s="51">
        <v>21</v>
      </c>
      <c r="Y27" s="51">
        <v>2</v>
      </c>
    </row>
    <row r="28" spans="1:25" s="66" customFormat="1" ht="30" customHeight="1" thickBot="1" x14ac:dyDescent="0.25">
      <c r="A28" s="236"/>
      <c r="B28" s="233"/>
      <c r="C28" s="69"/>
      <c r="D28" s="69"/>
      <c r="E28" s="69"/>
      <c r="F28" s="69"/>
      <c r="G28" s="224" t="s">
        <v>164</v>
      </c>
      <c r="H28" s="225"/>
      <c r="I28" s="225"/>
      <c r="J28" s="225"/>
      <c r="K28" s="226"/>
      <c r="L28" s="70"/>
      <c r="M28" s="70"/>
      <c r="N28" s="218"/>
      <c r="O28" s="219"/>
      <c r="P28" s="220"/>
      <c r="Q28" s="206"/>
      <c r="R28" s="206"/>
      <c r="S28" s="206"/>
      <c r="T28" s="206"/>
      <c r="U28" s="207"/>
      <c r="X28" s="51">
        <v>22</v>
      </c>
      <c r="Y28" s="51">
        <v>2</v>
      </c>
    </row>
    <row r="29" spans="1:25" s="66" customFormat="1" ht="30" customHeight="1" thickTop="1" x14ac:dyDescent="0.2">
      <c r="A29" s="234" t="s">
        <v>9</v>
      </c>
      <c r="B29" s="171" t="s">
        <v>50</v>
      </c>
      <c r="C29" s="64" t="s">
        <v>145</v>
      </c>
      <c r="D29" s="64"/>
      <c r="E29" s="64"/>
      <c r="F29" s="64"/>
      <c r="G29" s="215" t="s">
        <v>53</v>
      </c>
      <c r="H29" s="216"/>
      <c r="I29" s="216"/>
      <c r="J29" s="216"/>
      <c r="K29" s="230"/>
      <c r="L29" s="65"/>
      <c r="M29" s="65"/>
      <c r="N29" s="212"/>
      <c r="O29" s="213"/>
      <c r="P29" s="214"/>
      <c r="Q29" s="181"/>
      <c r="R29" s="181"/>
      <c r="S29" s="181"/>
      <c r="T29" s="181"/>
      <c r="U29" s="208"/>
      <c r="X29" s="51">
        <v>23</v>
      </c>
      <c r="Y29" s="51">
        <v>2</v>
      </c>
    </row>
    <row r="30" spans="1:25" s="66" customFormat="1" ht="30" customHeight="1" x14ac:dyDescent="0.2">
      <c r="A30" s="235"/>
      <c r="B30" s="172"/>
      <c r="C30" s="67" t="s">
        <v>145</v>
      </c>
      <c r="D30" s="67"/>
      <c r="E30" s="67"/>
      <c r="F30" s="67"/>
      <c r="G30" s="227" t="s">
        <v>44</v>
      </c>
      <c r="H30" s="228"/>
      <c r="I30" s="228"/>
      <c r="J30" s="228"/>
      <c r="K30" s="229"/>
      <c r="L30" s="68"/>
      <c r="M30" s="68"/>
      <c r="N30" s="209"/>
      <c r="O30" s="210"/>
      <c r="P30" s="211"/>
      <c r="Q30" s="179"/>
      <c r="R30" s="179"/>
      <c r="S30" s="179"/>
      <c r="T30" s="179"/>
      <c r="U30" s="205"/>
      <c r="X30" s="51">
        <v>24</v>
      </c>
      <c r="Y30" s="51">
        <v>1</v>
      </c>
    </row>
    <row r="31" spans="1:25" s="66" customFormat="1" ht="30" customHeight="1" x14ac:dyDescent="0.2">
      <c r="A31" s="235"/>
      <c r="B31" s="172"/>
      <c r="C31" s="67" t="s">
        <v>145</v>
      </c>
      <c r="D31" s="67"/>
      <c r="E31" s="67"/>
      <c r="F31" s="67"/>
      <c r="G31" s="227" t="s">
        <v>52</v>
      </c>
      <c r="H31" s="228"/>
      <c r="I31" s="228"/>
      <c r="J31" s="228"/>
      <c r="K31" s="229"/>
      <c r="L31" s="68"/>
      <c r="M31" s="68"/>
      <c r="N31" s="209"/>
      <c r="O31" s="210"/>
      <c r="P31" s="211"/>
      <c r="Q31" s="179"/>
      <c r="R31" s="179"/>
      <c r="S31" s="179"/>
      <c r="T31" s="179"/>
      <c r="U31" s="205"/>
      <c r="X31" s="51">
        <v>25</v>
      </c>
      <c r="Y31" s="51">
        <v>1</v>
      </c>
    </row>
    <row r="32" spans="1:25" s="66" customFormat="1" ht="30" customHeight="1" x14ac:dyDescent="0.2">
      <c r="A32" s="235"/>
      <c r="B32" s="172"/>
      <c r="C32" s="67" t="s">
        <v>145</v>
      </c>
      <c r="D32" s="67"/>
      <c r="E32" s="67"/>
      <c r="F32" s="67"/>
      <c r="G32" s="239" t="s">
        <v>54</v>
      </c>
      <c r="H32" s="240"/>
      <c r="I32" s="240"/>
      <c r="J32" s="240"/>
      <c r="K32" s="241"/>
      <c r="L32" s="68"/>
      <c r="M32" s="68"/>
      <c r="N32" s="209"/>
      <c r="O32" s="210"/>
      <c r="P32" s="211"/>
      <c r="Q32" s="179"/>
      <c r="R32" s="179"/>
      <c r="S32" s="179"/>
      <c r="T32" s="179"/>
      <c r="U32" s="205"/>
      <c r="X32" s="51">
        <v>26</v>
      </c>
      <c r="Y32" s="51">
        <v>0</v>
      </c>
    </row>
    <row r="33" spans="1:25" s="66" customFormat="1" ht="30" customHeight="1" thickBot="1" x14ac:dyDescent="0.25">
      <c r="A33" s="236"/>
      <c r="B33" s="176"/>
      <c r="C33" s="69"/>
      <c r="D33" s="69"/>
      <c r="E33" s="69"/>
      <c r="F33" s="69"/>
      <c r="G33" s="224" t="s">
        <v>164</v>
      </c>
      <c r="H33" s="225"/>
      <c r="I33" s="225"/>
      <c r="J33" s="225"/>
      <c r="K33" s="226"/>
      <c r="L33" s="70"/>
      <c r="M33" s="70"/>
      <c r="N33" s="218"/>
      <c r="O33" s="219"/>
      <c r="P33" s="220"/>
      <c r="Q33" s="206"/>
      <c r="R33" s="206"/>
      <c r="S33" s="206"/>
      <c r="T33" s="206"/>
      <c r="U33" s="207"/>
      <c r="X33" s="51"/>
      <c r="Y33" s="51"/>
    </row>
    <row r="34" spans="1:25" s="66" customFormat="1" ht="22.5" thickTop="1" thickBot="1" x14ac:dyDescent="0.25">
      <c r="G34" s="71"/>
      <c r="H34" s="71"/>
      <c r="I34" s="71"/>
      <c r="J34" s="71"/>
      <c r="K34" s="71"/>
      <c r="L34" s="71"/>
      <c r="M34" s="71"/>
      <c r="N34" s="71"/>
      <c r="O34" s="71"/>
      <c r="P34" s="71"/>
      <c r="Q34" s="71"/>
      <c r="R34" s="71"/>
      <c r="S34" s="71"/>
      <c r="T34" s="71"/>
      <c r="U34" s="71"/>
      <c r="X34" s="51"/>
      <c r="Y34" s="51"/>
    </row>
    <row r="35" spans="1:25" s="66" customFormat="1" ht="21.75" thickTop="1" x14ac:dyDescent="0.2">
      <c r="A35" s="182" t="s">
        <v>154</v>
      </c>
      <c r="B35" s="72" t="s">
        <v>152</v>
      </c>
      <c r="C35" s="80">
        <f>COUNTIF(C7:C33,"NOK")</f>
        <v>0</v>
      </c>
      <c r="D35" s="80">
        <f>COUNTIF(D7:D33,"NOK")</f>
        <v>0</v>
      </c>
      <c r="E35" s="80">
        <f>COUNTIF(E7:E33,"NOK")</f>
        <v>0</v>
      </c>
      <c r="F35" s="81">
        <f>COUNTIF(F7:F33,"NOK")</f>
        <v>0</v>
      </c>
      <c r="G35" s="71"/>
      <c r="H35" s="128" t="s">
        <v>204</v>
      </c>
      <c r="I35" s="128"/>
      <c r="J35" s="128"/>
      <c r="K35" s="128"/>
      <c r="L35" s="71"/>
      <c r="M35" s="71"/>
      <c r="N35" s="71"/>
      <c r="O35" s="71"/>
      <c r="P35" s="71"/>
      <c r="Q35" s="71"/>
      <c r="R35" s="71"/>
      <c r="S35" s="71"/>
      <c r="T35" s="71"/>
      <c r="U35" s="71"/>
      <c r="X35" s="51"/>
      <c r="Y35" s="51"/>
    </row>
    <row r="36" spans="1:25" s="66" customFormat="1" ht="21.75" thickBot="1" x14ac:dyDescent="0.25">
      <c r="A36" s="183"/>
      <c r="B36" s="73" t="s">
        <v>165</v>
      </c>
      <c r="C36" s="82">
        <f>VLOOKUP(C35,$X$6:$Y$32,2,FALSE)</f>
        <v>9</v>
      </c>
      <c r="D36" s="82">
        <f t="shared" ref="D36:F36" si="0">VLOOKUP(D35,$X$6:$Y$32,2,FALSE)</f>
        <v>9</v>
      </c>
      <c r="E36" s="82">
        <f t="shared" si="0"/>
        <v>9</v>
      </c>
      <c r="F36" s="83">
        <f t="shared" si="0"/>
        <v>9</v>
      </c>
      <c r="G36" s="71"/>
      <c r="H36" s="128"/>
      <c r="I36" s="128"/>
      <c r="J36" s="128"/>
      <c r="K36" s="128"/>
      <c r="L36" s="71"/>
      <c r="M36" s="71"/>
      <c r="N36" s="71"/>
      <c r="O36" s="71"/>
      <c r="P36" s="71"/>
      <c r="Q36" s="71"/>
      <c r="R36" s="71"/>
      <c r="S36" s="71"/>
      <c r="T36" s="71"/>
      <c r="U36" s="71"/>
      <c r="X36" s="51"/>
      <c r="Y36" s="51"/>
    </row>
    <row r="37" spans="1:25" ht="20.25" thickTop="1" thickBot="1" x14ac:dyDescent="0.3">
      <c r="A37" s="74" t="s">
        <v>155</v>
      </c>
      <c r="B37" s="75" t="s">
        <v>153</v>
      </c>
      <c r="C37" s="76"/>
      <c r="D37" s="76"/>
      <c r="E37" s="76"/>
      <c r="F37" s="77"/>
      <c r="H37" s="128"/>
      <c r="I37" s="128"/>
      <c r="J37" s="128"/>
      <c r="K37" s="128"/>
    </row>
    <row r="38" spans="1:25" ht="17.25" thickTop="1" thickBot="1" x14ac:dyDescent="0.3"/>
    <row r="39" spans="1:25" ht="23.1" customHeight="1" thickTop="1" thickBot="1" x14ac:dyDescent="0.3">
      <c r="A39" s="78"/>
      <c r="B39" s="79" t="s">
        <v>55</v>
      </c>
      <c r="C39" s="84">
        <f>(C36+(C37*0.25))*10</f>
        <v>90</v>
      </c>
      <c r="D39" s="84">
        <f t="shared" ref="D39:F39" si="1">(D36+(D37*0.25))*10</f>
        <v>90</v>
      </c>
      <c r="E39" s="84">
        <f t="shared" si="1"/>
        <v>90</v>
      </c>
      <c r="F39" s="85">
        <f t="shared" si="1"/>
        <v>90</v>
      </c>
    </row>
    <row r="40" spans="1:25" ht="16.5" thickTop="1" x14ac:dyDescent="0.25"/>
  </sheetData>
  <sheetProtection algorithmName="SHA-512" hashValue="VID2cmY9NnelzPGsqyPBt7aDMLxyEOrArrcU3jIGWlcy42FYtJZy+7EF+zbEOx8AIOOwPieROoXrs+OuMz8B7w==" saltValue="18jpaA8dap8Xye4QHtM+Gg==" spinCount="100000" sheet="1" objects="1" scenarios="1"/>
  <mergeCells count="103">
    <mergeCell ref="A35:A36"/>
    <mergeCell ref="Q8:U8"/>
    <mergeCell ref="Q9:U9"/>
    <mergeCell ref="Q10:U10"/>
    <mergeCell ref="G33:K33"/>
    <mergeCell ref="G12:K12"/>
    <mergeCell ref="G26:K26"/>
    <mergeCell ref="G21:K21"/>
    <mergeCell ref="G22:K22"/>
    <mergeCell ref="G23:K23"/>
    <mergeCell ref="G24:K24"/>
    <mergeCell ref="G20:K20"/>
    <mergeCell ref="G19:K19"/>
    <mergeCell ref="G29:K29"/>
    <mergeCell ref="G30:K30"/>
    <mergeCell ref="G31:K31"/>
    <mergeCell ref="G14:K14"/>
    <mergeCell ref="G15:K15"/>
    <mergeCell ref="G16:K16"/>
    <mergeCell ref="G17:K17"/>
    <mergeCell ref="G18:K18"/>
    <mergeCell ref="G32:K32"/>
    <mergeCell ref="G25:K25"/>
    <mergeCell ref="G27:K27"/>
    <mergeCell ref="A6:B6"/>
    <mergeCell ref="A4:B4"/>
    <mergeCell ref="B29:B33"/>
    <mergeCell ref="B7:B10"/>
    <mergeCell ref="B11:B17"/>
    <mergeCell ref="A7:A10"/>
    <mergeCell ref="A11:A17"/>
    <mergeCell ref="A18:A22"/>
    <mergeCell ref="A23:A28"/>
    <mergeCell ref="A29:A33"/>
    <mergeCell ref="B18:B22"/>
    <mergeCell ref="B23:B28"/>
    <mergeCell ref="G28:K28"/>
    <mergeCell ref="G13:K13"/>
    <mergeCell ref="G7:K7"/>
    <mergeCell ref="G8:K8"/>
    <mergeCell ref="G9:K9"/>
    <mergeCell ref="G10:K10"/>
    <mergeCell ref="G11:K11"/>
    <mergeCell ref="N23:P23"/>
    <mergeCell ref="N24:P24"/>
    <mergeCell ref="N25:P25"/>
    <mergeCell ref="N22:P22"/>
    <mergeCell ref="L5:P5"/>
    <mergeCell ref="Q5:U5"/>
    <mergeCell ref="N6:P6"/>
    <mergeCell ref="Q6:U6"/>
    <mergeCell ref="N7:P7"/>
    <mergeCell ref="N8:P8"/>
    <mergeCell ref="N9:P9"/>
    <mergeCell ref="N10:P10"/>
    <mergeCell ref="G5:K6"/>
    <mergeCell ref="Q33:U33"/>
    <mergeCell ref="Q28:U28"/>
    <mergeCell ref="Q29:U29"/>
    <mergeCell ref="Q30:U30"/>
    <mergeCell ref="N31:P31"/>
    <mergeCell ref="N32:P32"/>
    <mergeCell ref="N33:P33"/>
    <mergeCell ref="Q17:U17"/>
    <mergeCell ref="Q18:U18"/>
    <mergeCell ref="Q24:U24"/>
    <mergeCell ref="Q19:U19"/>
    <mergeCell ref="Q20:U20"/>
    <mergeCell ref="Q21:U21"/>
    <mergeCell ref="N17:P17"/>
    <mergeCell ref="N18:P18"/>
    <mergeCell ref="N19:P19"/>
    <mergeCell ref="N20:P20"/>
    <mergeCell ref="N26:P26"/>
    <mergeCell ref="N27:P27"/>
    <mergeCell ref="N28:P28"/>
    <mergeCell ref="N29:P29"/>
    <mergeCell ref="N30:P30"/>
    <mergeCell ref="N21:P21"/>
    <mergeCell ref="H35:K37"/>
    <mergeCell ref="D2:F2"/>
    <mergeCell ref="D3:F3"/>
    <mergeCell ref="Q31:U31"/>
    <mergeCell ref="Q32:U32"/>
    <mergeCell ref="Q25:U25"/>
    <mergeCell ref="Q26:U26"/>
    <mergeCell ref="Q27:U27"/>
    <mergeCell ref="Q22:U22"/>
    <mergeCell ref="Q23:U23"/>
    <mergeCell ref="Q14:U14"/>
    <mergeCell ref="Q15:U15"/>
    <mergeCell ref="Q16:U16"/>
    <mergeCell ref="N14:P14"/>
    <mergeCell ref="N15:P15"/>
    <mergeCell ref="N16:P16"/>
    <mergeCell ref="Q11:U11"/>
    <mergeCell ref="Q12:U12"/>
    <mergeCell ref="Q13:U13"/>
    <mergeCell ref="N11:P11"/>
    <mergeCell ref="N12:P12"/>
    <mergeCell ref="N13:P13"/>
    <mergeCell ref="C5:F5"/>
    <mergeCell ref="Q7:U7"/>
  </mergeCells>
  <phoneticPr fontId="0" type="noConversion"/>
  <conditionalFormatting sqref="C7:F33">
    <cfRule type="cellIs" dxfId="9" priority="1" operator="equal">
      <formula>"NOK"</formula>
    </cfRule>
    <cfRule type="cellIs" dxfId="8" priority="2" operator="equal">
      <formula>"OK"</formula>
    </cfRule>
  </conditionalFormatting>
  <dataValidations count="1">
    <dataValidation type="list" allowBlank="1" showInputMessage="1" showErrorMessage="1" sqref="C7:F33" xr:uid="{00000000-0002-0000-0100-000000000000}">
      <formula1>$C$2:$C$3</formula1>
    </dataValidation>
  </dataValidations>
  <printOptions horizontalCentered="1"/>
  <pageMargins left="0" right="0" top="0" bottom="0" header="0.23622047244094491" footer="0.15748031496062992"/>
  <pageSetup paperSize="9" scale="5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rgb="FF7030A0"/>
  </sheetPr>
  <dimension ref="A1:Y37"/>
  <sheetViews>
    <sheetView showGridLines="0" view="pageBreakPreview" topLeftCell="A16" zoomScale="70" zoomScaleNormal="10" zoomScaleSheetLayoutView="70" workbookViewId="0">
      <selection activeCell="N15" sqref="N15:P15"/>
    </sheetView>
  </sheetViews>
  <sheetFormatPr baseColWidth="10" defaultRowHeight="15.75" x14ac:dyDescent="0.25"/>
  <cols>
    <col min="1" max="1" width="4.140625" style="52" customWidth="1"/>
    <col min="2" max="2" width="13.42578125" style="49" customWidth="1"/>
    <col min="3" max="6" width="8.7109375" style="49" customWidth="1"/>
    <col min="7" max="7" width="7.140625" style="49" bestFit="1" customWidth="1"/>
    <col min="8" max="8" width="7.5703125" style="49" bestFit="1" customWidth="1"/>
    <col min="9" max="9" width="7.42578125" style="49" customWidth="1"/>
    <col min="10" max="10" width="7" style="50" bestFit="1" customWidth="1"/>
    <col min="11" max="11" width="53.140625" style="49" customWidth="1"/>
    <col min="12" max="13" width="6.7109375" style="49" customWidth="1"/>
    <col min="14" max="16" width="12.7109375" style="49" customWidth="1"/>
    <col min="17" max="17" width="10.7109375" style="49" customWidth="1"/>
    <col min="18" max="18" width="10.42578125" style="49" customWidth="1"/>
    <col min="19" max="19" width="10.140625" style="49" customWidth="1"/>
    <col min="20" max="21" width="9.28515625" style="49" customWidth="1"/>
    <col min="22" max="22" width="4.28515625" style="49" customWidth="1"/>
    <col min="23" max="16384" width="11.42578125" style="49"/>
  </cols>
  <sheetData>
    <row r="1" spans="1:25" ht="45" customHeight="1" x14ac:dyDescent="0.25">
      <c r="A1" s="47"/>
      <c r="B1" s="48"/>
      <c r="C1" s="48"/>
    </row>
    <row r="2" spans="1:25" x14ac:dyDescent="0.25">
      <c r="C2" s="53" t="s">
        <v>145</v>
      </c>
      <c r="D2" s="184" t="s">
        <v>151</v>
      </c>
      <c r="E2" s="185"/>
      <c r="F2" s="186"/>
    </row>
    <row r="3" spans="1:25" ht="22.5" customHeight="1" x14ac:dyDescent="0.25">
      <c r="C3" s="54" t="s">
        <v>144</v>
      </c>
      <c r="D3" s="184" t="s">
        <v>156</v>
      </c>
      <c r="E3" s="185"/>
      <c r="F3" s="186"/>
    </row>
    <row r="4" spans="1:25" s="55" customFormat="1" ht="5.25" customHeight="1" x14ac:dyDescent="0.35">
      <c r="A4" s="189"/>
      <c r="B4" s="189"/>
      <c r="D4" s="56"/>
      <c r="E4" s="56"/>
      <c r="F4" s="56"/>
      <c r="J4" s="57"/>
      <c r="L4" s="58"/>
    </row>
    <row r="5" spans="1:25" ht="18.75" customHeight="1" x14ac:dyDescent="0.25">
      <c r="A5" s="60"/>
      <c r="B5" s="60"/>
      <c r="C5" s="156" t="s">
        <v>146</v>
      </c>
      <c r="D5" s="157"/>
      <c r="E5" s="157"/>
      <c r="F5" s="158"/>
      <c r="G5" s="159" t="s">
        <v>150</v>
      </c>
      <c r="H5" s="160"/>
      <c r="I5" s="160"/>
      <c r="J5" s="160"/>
      <c r="K5" s="161"/>
      <c r="L5" s="165" t="s">
        <v>147</v>
      </c>
      <c r="M5" s="166"/>
      <c r="N5" s="166"/>
      <c r="O5" s="166"/>
      <c r="P5" s="167"/>
      <c r="Q5" s="129" t="s">
        <v>148</v>
      </c>
      <c r="R5" s="130"/>
      <c r="S5" s="130"/>
      <c r="T5" s="130"/>
      <c r="U5" s="131"/>
    </row>
    <row r="6" spans="1:25" ht="39" customHeight="1" thickBot="1" x14ac:dyDescent="0.3">
      <c r="A6" s="187" t="s">
        <v>149</v>
      </c>
      <c r="B6" s="188"/>
      <c r="C6" s="61" t="s">
        <v>1</v>
      </c>
      <c r="D6" s="61" t="s">
        <v>2</v>
      </c>
      <c r="E6" s="61" t="s">
        <v>3</v>
      </c>
      <c r="F6" s="61" t="s">
        <v>4</v>
      </c>
      <c r="G6" s="162"/>
      <c r="H6" s="163"/>
      <c r="I6" s="163"/>
      <c r="J6" s="163"/>
      <c r="K6" s="164"/>
      <c r="L6" s="62"/>
      <c r="M6" s="63"/>
      <c r="N6" s="132"/>
      <c r="O6" s="132"/>
      <c r="P6" s="133"/>
      <c r="Q6" s="134"/>
      <c r="R6" s="135"/>
      <c r="S6" s="135"/>
      <c r="T6" s="135"/>
      <c r="U6" s="136"/>
      <c r="X6" s="49">
        <v>0</v>
      </c>
      <c r="Y6" s="49">
        <v>9</v>
      </c>
    </row>
    <row r="7" spans="1:25" s="66" customFormat="1" ht="30" customHeight="1" thickTop="1" x14ac:dyDescent="0.2">
      <c r="A7" s="234" t="s">
        <v>118</v>
      </c>
      <c r="B7" s="231" t="s">
        <v>56</v>
      </c>
      <c r="C7" s="86" t="s">
        <v>144</v>
      </c>
      <c r="D7" s="86"/>
      <c r="E7" s="86"/>
      <c r="F7" s="86"/>
      <c r="G7" s="215" t="s">
        <v>73</v>
      </c>
      <c r="H7" s="216"/>
      <c r="I7" s="216"/>
      <c r="J7" s="216"/>
      <c r="K7" s="230"/>
      <c r="L7" s="65">
        <v>1230759</v>
      </c>
      <c r="M7" s="65"/>
      <c r="N7" s="212" t="s">
        <v>196</v>
      </c>
      <c r="O7" s="213"/>
      <c r="P7" s="214"/>
      <c r="Q7" s="215" t="s">
        <v>197</v>
      </c>
      <c r="R7" s="216"/>
      <c r="S7" s="216"/>
      <c r="T7" s="216"/>
      <c r="U7" s="217"/>
      <c r="X7" s="66">
        <v>1</v>
      </c>
      <c r="Y7" s="66">
        <v>8</v>
      </c>
    </row>
    <row r="8" spans="1:25" s="66" customFormat="1" ht="30" customHeight="1" x14ac:dyDescent="0.2">
      <c r="A8" s="235"/>
      <c r="B8" s="232"/>
      <c r="C8" s="87"/>
      <c r="D8" s="87"/>
      <c r="E8" s="87"/>
      <c r="F8" s="87"/>
      <c r="G8" s="227" t="s">
        <v>60</v>
      </c>
      <c r="H8" s="228"/>
      <c r="I8" s="228"/>
      <c r="J8" s="228"/>
      <c r="K8" s="229"/>
      <c r="L8" s="68"/>
      <c r="M8" s="68"/>
      <c r="N8" s="209"/>
      <c r="O8" s="210"/>
      <c r="P8" s="211"/>
      <c r="Q8" s="227"/>
      <c r="R8" s="228"/>
      <c r="S8" s="228"/>
      <c r="T8" s="228"/>
      <c r="U8" s="237"/>
      <c r="X8" s="66">
        <v>2</v>
      </c>
      <c r="Y8" s="66">
        <v>8</v>
      </c>
    </row>
    <row r="9" spans="1:25" s="66" customFormat="1" ht="30" customHeight="1" thickBot="1" x14ac:dyDescent="0.25">
      <c r="A9" s="236"/>
      <c r="B9" s="233"/>
      <c r="C9" s="88"/>
      <c r="D9" s="88"/>
      <c r="E9" s="88"/>
      <c r="F9" s="88"/>
      <c r="G9" s="224" t="s">
        <v>164</v>
      </c>
      <c r="H9" s="225"/>
      <c r="I9" s="225"/>
      <c r="J9" s="225"/>
      <c r="K9" s="226"/>
      <c r="L9" s="70"/>
      <c r="M9" s="70"/>
      <c r="N9" s="218"/>
      <c r="O9" s="219"/>
      <c r="P9" s="220"/>
      <c r="Q9" s="224"/>
      <c r="R9" s="225"/>
      <c r="S9" s="225"/>
      <c r="T9" s="225"/>
      <c r="U9" s="238"/>
      <c r="X9" s="66">
        <v>3</v>
      </c>
      <c r="Y9" s="66">
        <v>8</v>
      </c>
    </row>
    <row r="10" spans="1:25" s="66" customFormat="1" ht="30" customHeight="1" thickTop="1" x14ac:dyDescent="0.2">
      <c r="A10" s="234" t="s">
        <v>119</v>
      </c>
      <c r="B10" s="231" t="s">
        <v>57</v>
      </c>
      <c r="C10" s="86"/>
      <c r="D10" s="86"/>
      <c r="E10" s="86"/>
      <c r="F10" s="86"/>
      <c r="G10" s="215" t="s">
        <v>61</v>
      </c>
      <c r="H10" s="216"/>
      <c r="I10" s="216"/>
      <c r="J10" s="216"/>
      <c r="K10" s="230"/>
      <c r="L10" s="65"/>
      <c r="M10" s="65"/>
      <c r="N10" s="212" t="s">
        <v>199</v>
      </c>
      <c r="O10" s="213"/>
      <c r="P10" s="214"/>
      <c r="Q10" s="215"/>
      <c r="R10" s="216"/>
      <c r="S10" s="216"/>
      <c r="T10" s="216"/>
      <c r="U10" s="217"/>
      <c r="X10" s="66">
        <v>4</v>
      </c>
      <c r="Y10" s="66">
        <v>7</v>
      </c>
    </row>
    <row r="11" spans="1:25" s="66" customFormat="1" ht="30" customHeight="1" x14ac:dyDescent="0.2">
      <c r="A11" s="235"/>
      <c r="B11" s="232"/>
      <c r="C11" s="87"/>
      <c r="D11" s="87"/>
      <c r="E11" s="87"/>
      <c r="F11" s="87"/>
      <c r="G11" s="227" t="s">
        <v>157</v>
      </c>
      <c r="H11" s="228"/>
      <c r="I11" s="228"/>
      <c r="J11" s="228"/>
      <c r="K11" s="229"/>
      <c r="L11" s="68"/>
      <c r="M11" s="68"/>
      <c r="N11" s="209"/>
      <c r="O11" s="210"/>
      <c r="P11" s="211"/>
      <c r="Q11" s="179"/>
      <c r="R11" s="179"/>
      <c r="S11" s="179"/>
      <c r="T11" s="179"/>
      <c r="U11" s="205"/>
      <c r="X11" s="66">
        <v>5</v>
      </c>
      <c r="Y11" s="66">
        <v>7</v>
      </c>
    </row>
    <row r="12" spans="1:25" s="66" customFormat="1" ht="30" customHeight="1" x14ac:dyDescent="0.2">
      <c r="A12" s="235"/>
      <c r="B12" s="232"/>
      <c r="C12" s="87"/>
      <c r="D12" s="87"/>
      <c r="E12" s="87"/>
      <c r="F12" s="87"/>
      <c r="G12" s="227" t="s">
        <v>62</v>
      </c>
      <c r="H12" s="228"/>
      <c r="I12" s="228"/>
      <c r="J12" s="228"/>
      <c r="K12" s="229"/>
      <c r="L12" s="68"/>
      <c r="M12" s="68"/>
      <c r="N12" s="209"/>
      <c r="O12" s="210"/>
      <c r="P12" s="211"/>
      <c r="Q12" s="179"/>
      <c r="R12" s="179"/>
      <c r="S12" s="179"/>
      <c r="T12" s="179"/>
      <c r="U12" s="205"/>
      <c r="X12" s="66">
        <v>6</v>
      </c>
      <c r="Y12" s="66">
        <v>7</v>
      </c>
    </row>
    <row r="13" spans="1:25" s="66" customFormat="1" ht="30" customHeight="1" x14ac:dyDescent="0.2">
      <c r="A13" s="235"/>
      <c r="B13" s="232"/>
      <c r="C13" s="87"/>
      <c r="D13" s="87"/>
      <c r="E13" s="87"/>
      <c r="F13" s="87"/>
      <c r="G13" s="227" t="s">
        <v>63</v>
      </c>
      <c r="H13" s="228"/>
      <c r="I13" s="228"/>
      <c r="J13" s="228"/>
      <c r="K13" s="229"/>
      <c r="L13" s="68"/>
      <c r="M13" s="68"/>
      <c r="N13" s="209"/>
      <c r="O13" s="210"/>
      <c r="P13" s="211"/>
      <c r="Q13" s="179"/>
      <c r="R13" s="179"/>
      <c r="S13" s="179"/>
      <c r="T13" s="179"/>
      <c r="U13" s="205"/>
      <c r="X13" s="66">
        <v>7</v>
      </c>
      <c r="Y13" s="66">
        <v>7</v>
      </c>
    </row>
    <row r="14" spans="1:25" s="66" customFormat="1" ht="30" customHeight="1" x14ac:dyDescent="0.2">
      <c r="A14" s="235"/>
      <c r="B14" s="232"/>
      <c r="C14" s="87"/>
      <c r="D14" s="87"/>
      <c r="E14" s="87"/>
      <c r="F14" s="87"/>
      <c r="G14" s="227" t="s">
        <v>64</v>
      </c>
      <c r="H14" s="228"/>
      <c r="I14" s="228"/>
      <c r="J14" s="228"/>
      <c r="K14" s="229"/>
      <c r="L14" s="68"/>
      <c r="M14" s="68"/>
      <c r="N14" s="209"/>
      <c r="O14" s="210"/>
      <c r="P14" s="211"/>
      <c r="Q14" s="179"/>
      <c r="R14" s="179"/>
      <c r="S14" s="179"/>
      <c r="T14" s="179"/>
      <c r="U14" s="205"/>
      <c r="X14" s="66">
        <v>8</v>
      </c>
      <c r="Y14" s="66">
        <v>6</v>
      </c>
    </row>
    <row r="15" spans="1:25" s="66" customFormat="1" ht="59.25" customHeight="1" x14ac:dyDescent="0.2">
      <c r="A15" s="235"/>
      <c r="B15" s="232"/>
      <c r="C15" s="87"/>
      <c r="D15" s="87"/>
      <c r="E15" s="87"/>
      <c r="F15" s="87"/>
      <c r="G15" s="227" t="s">
        <v>74</v>
      </c>
      <c r="H15" s="228"/>
      <c r="I15" s="228"/>
      <c r="J15" s="228"/>
      <c r="K15" s="229"/>
      <c r="L15" s="68"/>
      <c r="M15" s="68"/>
      <c r="N15" s="209" t="s">
        <v>200</v>
      </c>
      <c r="O15" s="210"/>
      <c r="P15" s="211"/>
      <c r="Q15" s="179"/>
      <c r="R15" s="179"/>
      <c r="S15" s="179"/>
      <c r="T15" s="179"/>
      <c r="U15" s="205"/>
      <c r="X15" s="66">
        <v>9</v>
      </c>
      <c r="Y15" s="66">
        <v>6</v>
      </c>
    </row>
    <row r="16" spans="1:25" s="66" customFormat="1" ht="30" customHeight="1" thickBot="1" x14ac:dyDescent="0.25">
      <c r="A16" s="236"/>
      <c r="B16" s="233"/>
      <c r="C16" s="89"/>
      <c r="D16" s="89"/>
      <c r="E16" s="89"/>
      <c r="F16" s="89"/>
      <c r="G16" s="224" t="s">
        <v>29</v>
      </c>
      <c r="H16" s="225"/>
      <c r="I16" s="225"/>
      <c r="J16" s="225"/>
      <c r="K16" s="226"/>
      <c r="L16" s="70"/>
      <c r="M16" s="70"/>
      <c r="N16" s="218"/>
      <c r="O16" s="219"/>
      <c r="P16" s="220"/>
      <c r="Q16" s="206"/>
      <c r="R16" s="206"/>
      <c r="S16" s="206"/>
      <c r="T16" s="206"/>
      <c r="U16" s="207"/>
      <c r="X16" s="66">
        <v>10</v>
      </c>
      <c r="Y16" s="66">
        <v>6</v>
      </c>
    </row>
    <row r="17" spans="1:25" s="66" customFormat="1" ht="30" customHeight="1" thickTop="1" x14ac:dyDescent="0.2">
      <c r="A17" s="234" t="s">
        <v>120</v>
      </c>
      <c r="B17" s="231" t="s">
        <v>58</v>
      </c>
      <c r="C17" s="90"/>
      <c r="D17" s="90"/>
      <c r="E17" s="90"/>
      <c r="F17" s="90"/>
      <c r="G17" s="215" t="s">
        <v>67</v>
      </c>
      <c r="H17" s="216"/>
      <c r="I17" s="216"/>
      <c r="J17" s="216"/>
      <c r="K17" s="230"/>
      <c r="L17" s="65"/>
      <c r="M17" s="65"/>
      <c r="N17" s="212"/>
      <c r="O17" s="213"/>
      <c r="P17" s="214"/>
      <c r="Q17" s="181"/>
      <c r="R17" s="181"/>
      <c r="S17" s="181"/>
      <c r="T17" s="181"/>
      <c r="U17" s="208"/>
      <c r="X17" s="66">
        <v>11</v>
      </c>
      <c r="Y17" s="66">
        <v>6</v>
      </c>
    </row>
    <row r="18" spans="1:25" s="66" customFormat="1" ht="30" customHeight="1" x14ac:dyDescent="0.2">
      <c r="A18" s="235"/>
      <c r="B18" s="232"/>
      <c r="C18" s="87"/>
      <c r="D18" s="87"/>
      <c r="E18" s="87"/>
      <c r="F18" s="87"/>
      <c r="G18" s="227" t="s">
        <v>65</v>
      </c>
      <c r="H18" s="228"/>
      <c r="I18" s="228"/>
      <c r="J18" s="228"/>
      <c r="K18" s="229"/>
      <c r="L18" s="68"/>
      <c r="M18" s="68"/>
      <c r="N18" s="209"/>
      <c r="O18" s="210"/>
      <c r="P18" s="211"/>
      <c r="Q18" s="179"/>
      <c r="R18" s="179"/>
      <c r="S18" s="179"/>
      <c r="T18" s="179"/>
      <c r="U18" s="205"/>
      <c r="X18" s="66">
        <v>12</v>
      </c>
      <c r="Y18" s="66">
        <v>5</v>
      </c>
    </row>
    <row r="19" spans="1:25" s="66" customFormat="1" ht="30" customHeight="1" x14ac:dyDescent="0.2">
      <c r="A19" s="235"/>
      <c r="B19" s="232"/>
      <c r="C19" s="87"/>
      <c r="D19" s="87"/>
      <c r="E19" s="87"/>
      <c r="F19" s="87"/>
      <c r="G19" s="227" t="s">
        <v>66</v>
      </c>
      <c r="H19" s="228"/>
      <c r="I19" s="228"/>
      <c r="J19" s="228"/>
      <c r="K19" s="229"/>
      <c r="L19" s="68"/>
      <c r="M19" s="68"/>
      <c r="N19" s="209"/>
      <c r="O19" s="210"/>
      <c r="P19" s="211"/>
      <c r="Q19" s="179"/>
      <c r="R19" s="179"/>
      <c r="S19" s="179"/>
      <c r="T19" s="179"/>
      <c r="U19" s="205"/>
      <c r="X19" s="66">
        <v>13</v>
      </c>
      <c r="Y19" s="66">
        <v>5</v>
      </c>
    </row>
    <row r="20" spans="1:25" s="66" customFormat="1" ht="39.75" customHeight="1" x14ac:dyDescent="0.2">
      <c r="A20" s="235"/>
      <c r="B20" s="232"/>
      <c r="C20" s="91" t="s">
        <v>144</v>
      </c>
      <c r="D20" s="91"/>
      <c r="E20" s="91"/>
      <c r="F20" s="91"/>
      <c r="G20" s="227" t="s">
        <v>68</v>
      </c>
      <c r="H20" s="228"/>
      <c r="I20" s="228"/>
      <c r="J20" s="228"/>
      <c r="K20" s="229"/>
      <c r="L20" s="68">
        <v>1230760</v>
      </c>
      <c r="M20" s="68"/>
      <c r="N20" s="209" t="s">
        <v>183</v>
      </c>
      <c r="O20" s="210"/>
      <c r="P20" s="211"/>
      <c r="Q20" s="179" t="s">
        <v>182</v>
      </c>
      <c r="R20" s="179"/>
      <c r="S20" s="179"/>
      <c r="T20" s="179"/>
      <c r="U20" s="205"/>
      <c r="X20" s="66">
        <v>14</v>
      </c>
      <c r="Y20" s="66">
        <v>5</v>
      </c>
    </row>
    <row r="21" spans="1:25" s="66" customFormat="1" ht="30" customHeight="1" thickBot="1" x14ac:dyDescent="0.25">
      <c r="A21" s="236"/>
      <c r="B21" s="233"/>
      <c r="C21" s="88"/>
      <c r="D21" s="88"/>
      <c r="E21" s="88"/>
      <c r="F21" s="88"/>
      <c r="G21" s="224" t="s">
        <v>164</v>
      </c>
      <c r="H21" s="225"/>
      <c r="I21" s="225"/>
      <c r="J21" s="225"/>
      <c r="K21" s="226"/>
      <c r="L21" s="70"/>
      <c r="M21" s="70"/>
      <c r="N21" s="218"/>
      <c r="O21" s="219"/>
      <c r="P21" s="220"/>
      <c r="Q21" s="206"/>
      <c r="R21" s="206"/>
      <c r="S21" s="206"/>
      <c r="T21" s="206"/>
      <c r="U21" s="207"/>
      <c r="X21" s="66">
        <v>15</v>
      </c>
      <c r="Y21" s="66">
        <v>4</v>
      </c>
    </row>
    <row r="22" spans="1:25" s="66" customFormat="1" ht="30" customHeight="1" thickTop="1" thickBot="1" x14ac:dyDescent="0.25">
      <c r="A22" s="234" t="s">
        <v>121</v>
      </c>
      <c r="B22" s="231" t="s">
        <v>59</v>
      </c>
      <c r="C22" s="86"/>
      <c r="D22" s="86"/>
      <c r="E22" s="86"/>
      <c r="F22" s="86"/>
      <c r="G22" s="150" t="s">
        <v>69</v>
      </c>
      <c r="H22" s="150"/>
      <c r="I22" s="150"/>
      <c r="J22" s="150"/>
      <c r="K22" s="150"/>
      <c r="L22" s="65"/>
      <c r="M22" s="65"/>
      <c r="N22" s="212"/>
      <c r="O22" s="213"/>
      <c r="P22" s="214"/>
      <c r="Q22" s="247"/>
      <c r="R22" s="247"/>
      <c r="S22" s="247"/>
      <c r="T22" s="247"/>
      <c r="U22" s="248"/>
      <c r="X22" s="66">
        <v>16</v>
      </c>
      <c r="Y22" s="66">
        <v>4</v>
      </c>
    </row>
    <row r="23" spans="1:25" s="66" customFormat="1" ht="30" customHeight="1" thickTop="1" x14ac:dyDescent="0.2">
      <c r="A23" s="235"/>
      <c r="B23" s="232"/>
      <c r="C23" s="87"/>
      <c r="D23" s="87"/>
      <c r="E23" s="87"/>
      <c r="F23" s="87"/>
      <c r="G23" s="144" t="s">
        <v>72</v>
      </c>
      <c r="H23" s="144"/>
      <c r="I23" s="144"/>
      <c r="J23" s="144"/>
      <c r="K23" s="144"/>
      <c r="L23" s="68"/>
      <c r="M23" s="68"/>
      <c r="N23" s="209"/>
      <c r="O23" s="210"/>
      <c r="P23" s="211"/>
      <c r="Q23" s="181"/>
      <c r="R23" s="181"/>
      <c r="S23" s="181"/>
      <c r="T23" s="181"/>
      <c r="U23" s="208"/>
      <c r="X23" s="66">
        <v>17</v>
      </c>
      <c r="Y23" s="66">
        <v>4</v>
      </c>
    </row>
    <row r="24" spans="1:25" s="66" customFormat="1" ht="70.5" customHeight="1" x14ac:dyDescent="0.2">
      <c r="A24" s="235"/>
      <c r="B24" s="232"/>
      <c r="C24" s="87" t="s">
        <v>144</v>
      </c>
      <c r="D24" s="87"/>
      <c r="E24" s="87"/>
      <c r="F24" s="87"/>
      <c r="G24" s="144" t="s">
        <v>70</v>
      </c>
      <c r="H24" s="144"/>
      <c r="I24" s="144"/>
      <c r="J24" s="144"/>
      <c r="K24" s="144"/>
      <c r="L24" s="68">
        <v>1230761</v>
      </c>
      <c r="M24" s="68"/>
      <c r="N24" s="209" t="s">
        <v>201</v>
      </c>
      <c r="O24" s="210"/>
      <c r="P24" s="211"/>
      <c r="Q24" s="179"/>
      <c r="R24" s="179"/>
      <c r="S24" s="179"/>
      <c r="T24" s="179"/>
      <c r="U24" s="205"/>
      <c r="X24" s="66">
        <v>18</v>
      </c>
      <c r="Y24" s="66">
        <v>3</v>
      </c>
    </row>
    <row r="25" spans="1:25" s="66" customFormat="1" x14ac:dyDescent="0.2">
      <c r="A25" s="235"/>
      <c r="B25" s="232"/>
      <c r="C25" s="91"/>
      <c r="D25" s="91"/>
      <c r="E25" s="91"/>
      <c r="F25" s="91"/>
      <c r="G25" s="144" t="s">
        <v>71</v>
      </c>
      <c r="H25" s="144"/>
      <c r="I25" s="144"/>
      <c r="J25" s="144"/>
      <c r="K25" s="144"/>
      <c r="L25" s="68"/>
      <c r="M25" s="68"/>
      <c r="N25" s="209"/>
      <c r="O25" s="210"/>
      <c r="P25" s="211"/>
      <c r="Q25" s="179"/>
      <c r="R25" s="179"/>
      <c r="S25" s="179"/>
      <c r="T25" s="179"/>
      <c r="U25" s="205"/>
      <c r="X25" s="66">
        <v>19</v>
      </c>
      <c r="Y25" s="66">
        <v>3</v>
      </c>
    </row>
    <row r="26" spans="1:25" s="66" customFormat="1" ht="30" customHeight="1" x14ac:dyDescent="0.2">
      <c r="A26" s="235"/>
      <c r="B26" s="232"/>
      <c r="C26" s="87"/>
      <c r="D26" s="87"/>
      <c r="E26" s="87"/>
      <c r="F26" s="87"/>
      <c r="G26" s="144" t="s">
        <v>75</v>
      </c>
      <c r="H26" s="144"/>
      <c r="I26" s="144"/>
      <c r="J26" s="144"/>
      <c r="K26" s="144"/>
      <c r="L26" s="68"/>
      <c r="M26" s="68"/>
      <c r="N26" s="209"/>
      <c r="O26" s="210"/>
      <c r="P26" s="211"/>
      <c r="Q26" s="179"/>
      <c r="R26" s="179"/>
      <c r="S26" s="179"/>
      <c r="T26" s="179"/>
      <c r="U26" s="205"/>
      <c r="X26" s="66">
        <v>20</v>
      </c>
      <c r="Y26" s="66">
        <v>3</v>
      </c>
    </row>
    <row r="27" spans="1:25" s="66" customFormat="1" ht="30" customHeight="1" thickBot="1" x14ac:dyDescent="0.25">
      <c r="A27" s="236"/>
      <c r="B27" s="233"/>
      <c r="C27" s="88"/>
      <c r="D27" s="88"/>
      <c r="E27" s="88"/>
      <c r="F27" s="88"/>
      <c r="G27" s="180" t="s">
        <v>164</v>
      </c>
      <c r="H27" s="180"/>
      <c r="I27" s="180"/>
      <c r="J27" s="180"/>
      <c r="K27" s="180"/>
      <c r="L27" s="70"/>
      <c r="M27" s="70"/>
      <c r="N27" s="218"/>
      <c r="O27" s="219"/>
      <c r="P27" s="220"/>
      <c r="Q27" s="206"/>
      <c r="R27" s="206"/>
      <c r="S27" s="206"/>
      <c r="T27" s="206"/>
      <c r="U27" s="207"/>
      <c r="X27" s="66">
        <v>21</v>
      </c>
      <c r="Y27" s="66">
        <v>2</v>
      </c>
    </row>
    <row r="28" spans="1:25" s="66" customFormat="1" ht="30" customHeight="1" thickTop="1" thickBot="1" x14ac:dyDescent="0.25">
      <c r="A28" s="92"/>
      <c r="B28" s="93"/>
      <c r="C28" s="94"/>
      <c r="D28" s="94"/>
      <c r="E28" s="94"/>
      <c r="F28" s="94"/>
      <c r="G28" s="245"/>
      <c r="H28" s="245"/>
      <c r="I28" s="245"/>
      <c r="J28" s="245"/>
      <c r="K28" s="245"/>
      <c r="L28" s="246"/>
      <c r="M28" s="246"/>
      <c r="N28" s="246"/>
      <c r="O28" s="246"/>
      <c r="P28" s="246"/>
      <c r="Q28" s="246"/>
      <c r="R28" s="246"/>
      <c r="S28" s="246"/>
      <c r="T28" s="246"/>
      <c r="U28" s="246"/>
      <c r="X28" s="66">
        <v>22</v>
      </c>
      <c r="Y28" s="66">
        <v>2</v>
      </c>
    </row>
    <row r="29" spans="1:25" s="66" customFormat="1" ht="21.75" thickTop="1" x14ac:dyDescent="0.2">
      <c r="A29" s="182" t="s">
        <v>154</v>
      </c>
      <c r="B29" s="72" t="s">
        <v>152</v>
      </c>
      <c r="C29" s="80">
        <f>COUNTIF(C7:C27,"NOK")</f>
        <v>3</v>
      </c>
      <c r="D29" s="80">
        <f>COUNTIF(D1:D27,"NOK")</f>
        <v>0</v>
      </c>
      <c r="E29" s="80">
        <f>COUNTIF(E1:E27,"NOK")</f>
        <v>0</v>
      </c>
      <c r="F29" s="98">
        <f>COUNTIF(F1:F27,"NOK")</f>
        <v>0</v>
      </c>
      <c r="G29" s="71"/>
      <c r="H29" s="128" t="s">
        <v>204</v>
      </c>
      <c r="I29" s="128"/>
      <c r="J29" s="128"/>
      <c r="K29" s="128"/>
      <c r="L29" s="71"/>
      <c r="M29" s="71"/>
      <c r="N29" s="71"/>
      <c r="O29" s="71"/>
      <c r="P29" s="71"/>
      <c r="Q29" s="71"/>
      <c r="R29" s="71"/>
      <c r="S29" s="71"/>
      <c r="T29" s="71"/>
      <c r="U29" s="71"/>
      <c r="X29" s="51">
        <v>23</v>
      </c>
      <c r="Y29" s="51">
        <v>2</v>
      </c>
    </row>
    <row r="30" spans="1:25" s="66" customFormat="1" ht="21.75" thickBot="1" x14ac:dyDescent="0.25">
      <c r="A30" s="183"/>
      <c r="B30" s="73" t="s">
        <v>165</v>
      </c>
      <c r="C30" s="82">
        <f>VLOOKUP(C29,$X$6:$Y$32,2,FALSE)</f>
        <v>8</v>
      </c>
      <c r="D30" s="82">
        <f>VLOOKUP(D29,$X$6:$Y$32,2,FALSE)</f>
        <v>9</v>
      </c>
      <c r="E30" s="82">
        <f>VLOOKUP(E29,$X$6:$Y$32,2,FALSE)</f>
        <v>9</v>
      </c>
      <c r="F30" s="83">
        <f>VLOOKUP(F29,$X$6:$Y$32,2,FALSE)</f>
        <v>9</v>
      </c>
      <c r="G30" s="71"/>
      <c r="H30" s="128"/>
      <c r="I30" s="128"/>
      <c r="J30" s="128"/>
      <c r="K30" s="128"/>
      <c r="L30" s="71"/>
      <c r="M30" s="71"/>
      <c r="N30" s="71"/>
      <c r="O30" s="71"/>
      <c r="P30" s="71"/>
      <c r="Q30" s="71"/>
      <c r="R30" s="71"/>
      <c r="S30" s="71"/>
      <c r="T30" s="71"/>
      <c r="U30" s="71"/>
      <c r="X30" s="51">
        <v>24</v>
      </c>
      <c r="Y30" s="51">
        <v>1</v>
      </c>
    </row>
    <row r="31" spans="1:25" ht="20.25" thickTop="1" thickBot="1" x14ac:dyDescent="0.3">
      <c r="A31" s="74" t="s">
        <v>155</v>
      </c>
      <c r="B31" s="75" t="s">
        <v>153</v>
      </c>
      <c r="C31" s="76"/>
      <c r="D31" s="76"/>
      <c r="E31" s="76"/>
      <c r="F31" s="77"/>
      <c r="H31" s="128"/>
      <c r="I31" s="128"/>
      <c r="J31" s="128"/>
      <c r="K31" s="128"/>
      <c r="X31" s="51">
        <v>25</v>
      </c>
      <c r="Y31" s="51">
        <v>1</v>
      </c>
    </row>
    <row r="32" spans="1:25" ht="17.25" thickTop="1" thickBot="1" x14ac:dyDescent="0.3">
      <c r="X32" s="51">
        <v>26</v>
      </c>
      <c r="Y32" s="51">
        <v>0</v>
      </c>
    </row>
    <row r="33" spans="1:25" ht="23.1" customHeight="1" thickTop="1" thickBot="1" x14ac:dyDescent="0.3">
      <c r="A33" s="78"/>
      <c r="B33" s="79" t="s">
        <v>55</v>
      </c>
      <c r="C33" s="84">
        <f>(C30+(C31*0.25))*10</f>
        <v>80</v>
      </c>
      <c r="D33" s="84">
        <f t="shared" ref="D33:F33" si="0">(D30+(D31*0.25))*10</f>
        <v>90</v>
      </c>
      <c r="E33" s="84">
        <f t="shared" si="0"/>
        <v>90</v>
      </c>
      <c r="F33" s="85">
        <f t="shared" si="0"/>
        <v>90</v>
      </c>
      <c r="X33" s="51"/>
      <c r="Y33" s="51"/>
    </row>
    <row r="34" spans="1:25" s="66" customFormat="1" ht="30" customHeight="1" thickTop="1" x14ac:dyDescent="0.2">
      <c r="A34" s="95"/>
      <c r="B34" s="96"/>
      <c r="C34" s="97"/>
      <c r="D34" s="97"/>
      <c r="E34" s="97"/>
      <c r="F34" s="97"/>
      <c r="G34" s="244"/>
      <c r="H34" s="244"/>
      <c r="I34" s="244"/>
      <c r="J34" s="244"/>
      <c r="K34" s="244"/>
      <c r="L34" s="242"/>
      <c r="M34" s="242"/>
      <c r="N34" s="242"/>
      <c r="O34" s="242"/>
      <c r="P34" s="242"/>
      <c r="Q34" s="242"/>
      <c r="R34" s="242"/>
      <c r="S34" s="242"/>
      <c r="T34" s="242"/>
      <c r="U34" s="242"/>
    </row>
    <row r="35" spans="1:25" s="66" customFormat="1" ht="30" customHeight="1" x14ac:dyDescent="0.2">
      <c r="A35" s="95"/>
      <c r="B35" s="96"/>
      <c r="C35" s="97"/>
      <c r="D35" s="97"/>
      <c r="E35" s="97"/>
      <c r="F35" s="97"/>
      <c r="G35" s="244"/>
      <c r="H35" s="244"/>
      <c r="I35" s="244"/>
      <c r="J35" s="244"/>
      <c r="K35" s="244"/>
      <c r="L35" s="242"/>
      <c r="M35" s="242"/>
      <c r="N35" s="242"/>
      <c r="O35" s="242"/>
      <c r="P35" s="242"/>
      <c r="Q35" s="242"/>
      <c r="R35" s="242"/>
      <c r="S35" s="242"/>
      <c r="T35" s="242"/>
      <c r="U35" s="242"/>
    </row>
    <row r="36" spans="1:25" s="66" customFormat="1" ht="30" customHeight="1" x14ac:dyDescent="0.2">
      <c r="A36" s="95"/>
      <c r="B36" s="96"/>
      <c r="C36" s="97"/>
      <c r="D36" s="97"/>
      <c r="E36" s="97"/>
      <c r="F36" s="97"/>
      <c r="G36" s="244"/>
      <c r="H36" s="244"/>
      <c r="I36" s="244"/>
      <c r="J36" s="244"/>
      <c r="K36" s="244"/>
      <c r="L36" s="242"/>
      <c r="M36" s="242"/>
      <c r="N36" s="242"/>
      <c r="O36" s="242"/>
      <c r="P36" s="242"/>
      <c r="Q36" s="242"/>
      <c r="R36" s="242"/>
      <c r="S36" s="242"/>
      <c r="T36" s="242"/>
      <c r="U36" s="242"/>
    </row>
    <row r="37" spans="1:25" s="66" customFormat="1" ht="30" customHeight="1" x14ac:dyDescent="0.2">
      <c r="A37" s="95"/>
      <c r="B37" s="96"/>
      <c r="C37" s="97"/>
      <c r="D37" s="97"/>
      <c r="E37" s="97"/>
      <c r="F37" s="97"/>
      <c r="G37" s="243"/>
      <c r="H37" s="243"/>
      <c r="I37" s="243"/>
      <c r="J37" s="243"/>
      <c r="K37" s="243"/>
      <c r="L37" s="242"/>
      <c r="M37" s="242"/>
      <c r="N37" s="242"/>
      <c r="O37" s="242"/>
      <c r="P37" s="242"/>
      <c r="Q37" s="242"/>
      <c r="R37" s="242"/>
      <c r="S37" s="242"/>
      <c r="T37" s="242"/>
      <c r="U37" s="242"/>
    </row>
  </sheetData>
  <mergeCells count="98">
    <mergeCell ref="L5:P5"/>
    <mergeCell ref="Q5:U5"/>
    <mergeCell ref="N6:P6"/>
    <mergeCell ref="Q6:U6"/>
    <mergeCell ref="N7:P7"/>
    <mergeCell ref="A4:B4"/>
    <mergeCell ref="G9:K9"/>
    <mergeCell ref="D2:F2"/>
    <mergeCell ref="D3:F3"/>
    <mergeCell ref="C5:F5"/>
    <mergeCell ref="G5:K6"/>
    <mergeCell ref="A6:B6"/>
    <mergeCell ref="A7:A9"/>
    <mergeCell ref="B7:B9"/>
    <mergeCell ref="G15:K15"/>
    <mergeCell ref="Q15:U15"/>
    <mergeCell ref="G13:K13"/>
    <mergeCell ref="G7:K7"/>
    <mergeCell ref="Q7:U7"/>
    <mergeCell ref="G8:K8"/>
    <mergeCell ref="Q8:U8"/>
    <mergeCell ref="G11:K11"/>
    <mergeCell ref="Q11:U11"/>
    <mergeCell ref="G12:K12"/>
    <mergeCell ref="Q12:U12"/>
    <mergeCell ref="N11:P11"/>
    <mergeCell ref="N12:P12"/>
    <mergeCell ref="N8:P8"/>
    <mergeCell ref="N9:P9"/>
    <mergeCell ref="N10:P10"/>
    <mergeCell ref="Q18:U18"/>
    <mergeCell ref="Q22:U22"/>
    <mergeCell ref="G21:K21"/>
    <mergeCell ref="N22:P22"/>
    <mergeCell ref="N21:P21"/>
    <mergeCell ref="Q21:U21"/>
    <mergeCell ref="Q23:U23"/>
    <mergeCell ref="N19:P19"/>
    <mergeCell ref="N20:P20"/>
    <mergeCell ref="G19:K19"/>
    <mergeCell ref="Q19:U19"/>
    <mergeCell ref="Q34:U34"/>
    <mergeCell ref="Q24:U24"/>
    <mergeCell ref="Q20:U20"/>
    <mergeCell ref="G35:K35"/>
    <mergeCell ref="L35:P35"/>
    <mergeCell ref="Q25:U25"/>
    <mergeCell ref="G26:K26"/>
    <mergeCell ref="Q26:U26"/>
    <mergeCell ref="G27:K27"/>
    <mergeCell ref="Q27:U27"/>
    <mergeCell ref="Q35:U35"/>
    <mergeCell ref="G28:K28"/>
    <mergeCell ref="L28:P28"/>
    <mergeCell ref="Q28:U28"/>
    <mergeCell ref="L34:P34"/>
    <mergeCell ref="N25:P25"/>
    <mergeCell ref="N26:P26"/>
    <mergeCell ref="N27:P27"/>
    <mergeCell ref="H29:K31"/>
    <mergeCell ref="B10:B16"/>
    <mergeCell ref="A10:A16"/>
    <mergeCell ref="B17:B21"/>
    <mergeCell ref="A17:A21"/>
    <mergeCell ref="G20:K20"/>
    <mergeCell ref="G17:K17"/>
    <mergeCell ref="G16:K16"/>
    <mergeCell ref="G10:K10"/>
    <mergeCell ref="G14:K14"/>
    <mergeCell ref="N24:P24"/>
    <mergeCell ref="N23:P23"/>
    <mergeCell ref="G18:K18"/>
    <mergeCell ref="N18:P18"/>
    <mergeCell ref="B22:B27"/>
    <mergeCell ref="A22:A27"/>
    <mergeCell ref="G34:K34"/>
    <mergeCell ref="G23:K23"/>
    <mergeCell ref="G24:K24"/>
    <mergeCell ref="A29:A30"/>
    <mergeCell ref="G25:K25"/>
    <mergeCell ref="G22:K22"/>
    <mergeCell ref="L36:P36"/>
    <mergeCell ref="Q36:U36"/>
    <mergeCell ref="G37:K37"/>
    <mergeCell ref="L37:P37"/>
    <mergeCell ref="Q37:U37"/>
    <mergeCell ref="G36:K36"/>
    <mergeCell ref="Q13:U13"/>
    <mergeCell ref="Q9:U9"/>
    <mergeCell ref="Q17:U17"/>
    <mergeCell ref="N16:P16"/>
    <mergeCell ref="N17:P17"/>
    <mergeCell ref="N13:P13"/>
    <mergeCell ref="N14:P14"/>
    <mergeCell ref="N15:P15"/>
    <mergeCell ref="Q16:U16"/>
    <mergeCell ref="Q10:U10"/>
    <mergeCell ref="Q14:U14"/>
  </mergeCells>
  <conditionalFormatting sqref="C7:F28 C34:F37">
    <cfRule type="cellIs" dxfId="7" priority="1" operator="equal">
      <formula>"NOK"</formula>
    </cfRule>
    <cfRule type="cellIs" dxfId="6" priority="2" operator="equal">
      <formula>"OK"</formula>
    </cfRule>
  </conditionalFormatting>
  <dataValidations count="1">
    <dataValidation type="list" allowBlank="1" showInputMessage="1" showErrorMessage="1" sqref="C7:F28 C34:F37" xr:uid="{00000000-0002-0000-0200-000000000000}">
      <formula1>$C$2:$C$3</formula1>
    </dataValidation>
  </dataValidations>
  <printOptions horizontalCentered="1"/>
  <pageMargins left="0" right="0" top="0" bottom="0" header="0.23622047244094491" footer="0.15748031496062992"/>
  <pageSetup paperSize="9" scale="56"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rgb="FF7030A0"/>
  </sheetPr>
  <dimension ref="A1:Y39"/>
  <sheetViews>
    <sheetView showGridLines="0" view="pageBreakPreview" topLeftCell="A4" zoomScale="70" zoomScaleNormal="75" zoomScaleSheetLayoutView="70" workbookViewId="0">
      <selection sqref="A1:G2"/>
    </sheetView>
  </sheetViews>
  <sheetFormatPr baseColWidth="10" defaultRowHeight="15.75" x14ac:dyDescent="0.25"/>
  <cols>
    <col min="1" max="1" width="4.140625" style="52" customWidth="1"/>
    <col min="2" max="2" width="14" style="49" customWidth="1"/>
    <col min="3" max="6" width="8.7109375" style="49" customWidth="1"/>
    <col min="7" max="7" width="7.140625" style="49" bestFit="1" customWidth="1"/>
    <col min="8" max="8" width="7.5703125" style="49" bestFit="1" customWidth="1"/>
    <col min="9" max="9" width="7.42578125" style="49" customWidth="1"/>
    <col min="10" max="10" width="7" style="50" bestFit="1" customWidth="1"/>
    <col min="11" max="11" width="53.140625" style="49" customWidth="1"/>
    <col min="12" max="13" width="6.7109375" style="49" customWidth="1"/>
    <col min="14" max="16" width="12.7109375" style="49" customWidth="1"/>
    <col min="17" max="17" width="10.7109375" style="49" customWidth="1"/>
    <col min="18" max="18" width="10.42578125" style="49" customWidth="1"/>
    <col min="19" max="19" width="10.140625" style="49" customWidth="1"/>
    <col min="20" max="21" width="9.28515625" style="49" customWidth="1"/>
    <col min="22" max="22" width="4.28515625" style="49" customWidth="1"/>
    <col min="23" max="16384" width="11.42578125" style="49"/>
  </cols>
  <sheetData>
    <row r="1" spans="1:25" ht="45" customHeight="1" x14ac:dyDescent="0.25">
      <c r="A1" s="47"/>
      <c r="B1" s="48"/>
      <c r="C1" s="48"/>
    </row>
    <row r="2" spans="1:25" x14ac:dyDescent="0.25">
      <c r="C2" s="53" t="s">
        <v>145</v>
      </c>
      <c r="D2" s="184" t="s">
        <v>151</v>
      </c>
      <c r="E2" s="185"/>
      <c r="F2" s="186"/>
    </row>
    <row r="3" spans="1:25" ht="22.5" customHeight="1" x14ac:dyDescent="0.25">
      <c r="C3" s="54" t="s">
        <v>144</v>
      </c>
      <c r="D3" s="184" t="s">
        <v>156</v>
      </c>
      <c r="E3" s="185"/>
      <c r="F3" s="186"/>
    </row>
    <row r="4" spans="1:25" s="55" customFormat="1" ht="5.25" customHeight="1" x14ac:dyDescent="0.35">
      <c r="A4" s="189"/>
      <c r="B4" s="189"/>
      <c r="D4" s="56"/>
      <c r="E4" s="56"/>
      <c r="F4" s="56"/>
      <c r="J4" s="57"/>
      <c r="L4" s="58"/>
    </row>
    <row r="5" spans="1:25" ht="18.75" customHeight="1" x14ac:dyDescent="0.25">
      <c r="A5" s="60"/>
      <c r="B5" s="60"/>
      <c r="C5" s="156" t="s">
        <v>146</v>
      </c>
      <c r="D5" s="157"/>
      <c r="E5" s="157"/>
      <c r="F5" s="158"/>
      <c r="G5" s="159" t="s">
        <v>150</v>
      </c>
      <c r="H5" s="160"/>
      <c r="I5" s="160"/>
      <c r="J5" s="160"/>
      <c r="K5" s="161"/>
      <c r="L5" s="165" t="s">
        <v>147</v>
      </c>
      <c r="M5" s="166"/>
      <c r="N5" s="166"/>
      <c r="O5" s="166"/>
      <c r="P5" s="167"/>
      <c r="Q5" s="129" t="s">
        <v>148</v>
      </c>
      <c r="R5" s="130"/>
      <c r="S5" s="130"/>
      <c r="T5" s="130"/>
      <c r="U5" s="131"/>
    </row>
    <row r="6" spans="1:25" ht="39" customHeight="1" thickBot="1" x14ac:dyDescent="0.3">
      <c r="A6" s="187" t="s">
        <v>149</v>
      </c>
      <c r="B6" s="188"/>
      <c r="C6" s="61" t="s">
        <v>1</v>
      </c>
      <c r="D6" s="61" t="s">
        <v>2</v>
      </c>
      <c r="E6" s="61" t="s">
        <v>3</v>
      </c>
      <c r="F6" s="61" t="s">
        <v>4</v>
      </c>
      <c r="G6" s="162"/>
      <c r="H6" s="163"/>
      <c r="I6" s="163"/>
      <c r="J6" s="163"/>
      <c r="K6" s="164"/>
      <c r="L6" s="62"/>
      <c r="M6" s="63"/>
      <c r="N6" s="132"/>
      <c r="O6" s="132"/>
      <c r="P6" s="133"/>
      <c r="Q6" s="134"/>
      <c r="R6" s="135"/>
      <c r="S6" s="135"/>
      <c r="T6" s="135"/>
      <c r="U6" s="136"/>
      <c r="X6" s="49">
        <v>0</v>
      </c>
      <c r="Y6" s="49">
        <v>9</v>
      </c>
    </row>
    <row r="7" spans="1:25" s="66" customFormat="1" ht="47.25" customHeight="1" thickTop="1" x14ac:dyDescent="0.2">
      <c r="A7" s="255" t="s">
        <v>122</v>
      </c>
      <c r="B7" s="173" t="s">
        <v>76</v>
      </c>
      <c r="C7" s="64" t="s">
        <v>144</v>
      </c>
      <c r="D7" s="64"/>
      <c r="E7" s="64"/>
      <c r="F7" s="64"/>
      <c r="G7" s="150" t="s">
        <v>82</v>
      </c>
      <c r="H7" s="150"/>
      <c r="I7" s="150"/>
      <c r="J7" s="150"/>
      <c r="K7" s="150"/>
      <c r="L7" s="124" t="s">
        <v>198</v>
      </c>
      <c r="M7" s="99"/>
      <c r="N7" s="153" t="s">
        <v>186</v>
      </c>
      <c r="O7" s="154"/>
      <c r="P7" s="155"/>
      <c r="Q7" s="258" t="s">
        <v>187</v>
      </c>
      <c r="R7" s="258"/>
      <c r="S7" s="258"/>
      <c r="T7" s="258"/>
      <c r="U7" s="259"/>
      <c r="X7" s="66">
        <v>1</v>
      </c>
      <c r="Y7" s="66">
        <v>8</v>
      </c>
    </row>
    <row r="8" spans="1:25" s="66" customFormat="1" ht="30" customHeight="1" x14ac:dyDescent="0.2">
      <c r="A8" s="253"/>
      <c r="B8" s="232"/>
      <c r="C8" s="67" t="s">
        <v>145</v>
      </c>
      <c r="D8" s="67"/>
      <c r="E8" s="67"/>
      <c r="F8" s="67"/>
      <c r="G8" s="144" t="s">
        <v>85</v>
      </c>
      <c r="H8" s="144"/>
      <c r="I8" s="144"/>
      <c r="J8" s="144"/>
      <c r="K8" s="144"/>
      <c r="L8" s="125"/>
      <c r="M8" s="100"/>
      <c r="N8" s="249"/>
      <c r="O8" s="250"/>
      <c r="P8" s="251"/>
      <c r="Q8" s="256"/>
      <c r="R8" s="256"/>
      <c r="S8" s="256"/>
      <c r="T8" s="256"/>
      <c r="U8" s="257"/>
      <c r="X8" s="66">
        <v>2</v>
      </c>
      <c r="Y8" s="66">
        <v>8</v>
      </c>
    </row>
    <row r="9" spans="1:25" s="66" customFormat="1" ht="30" customHeight="1" x14ac:dyDescent="0.2">
      <c r="A9" s="253"/>
      <c r="B9" s="232"/>
      <c r="C9" s="67" t="s">
        <v>145</v>
      </c>
      <c r="D9" s="67"/>
      <c r="E9" s="67"/>
      <c r="F9" s="67"/>
      <c r="G9" s="144" t="s">
        <v>89</v>
      </c>
      <c r="H9" s="144"/>
      <c r="I9" s="144"/>
      <c r="J9" s="144"/>
      <c r="K9" s="144"/>
      <c r="L9" s="125"/>
      <c r="M9" s="100"/>
      <c r="N9" s="249"/>
      <c r="O9" s="250"/>
      <c r="P9" s="251"/>
      <c r="Q9" s="256"/>
      <c r="R9" s="256"/>
      <c r="S9" s="256"/>
      <c r="T9" s="256"/>
      <c r="U9" s="257"/>
      <c r="X9" s="66">
        <v>3</v>
      </c>
      <c r="Y9" s="66">
        <v>8</v>
      </c>
    </row>
    <row r="10" spans="1:25" s="66" customFormat="1" ht="30" customHeight="1" x14ac:dyDescent="0.2">
      <c r="A10" s="253"/>
      <c r="B10" s="232"/>
      <c r="C10" s="67" t="s">
        <v>145</v>
      </c>
      <c r="D10" s="67"/>
      <c r="E10" s="67"/>
      <c r="F10" s="67"/>
      <c r="G10" s="144" t="s">
        <v>86</v>
      </c>
      <c r="H10" s="144"/>
      <c r="I10" s="144"/>
      <c r="J10" s="144"/>
      <c r="K10" s="144"/>
      <c r="L10" s="125"/>
      <c r="M10" s="100"/>
      <c r="N10" s="249"/>
      <c r="O10" s="250"/>
      <c r="P10" s="251"/>
      <c r="Q10" s="256"/>
      <c r="R10" s="256"/>
      <c r="S10" s="256"/>
      <c r="T10" s="256"/>
      <c r="U10" s="257"/>
      <c r="X10" s="66">
        <v>4</v>
      </c>
      <c r="Y10" s="66">
        <v>7</v>
      </c>
    </row>
    <row r="11" spans="1:25" s="66" customFormat="1" ht="30" customHeight="1" x14ac:dyDescent="0.2">
      <c r="A11" s="253"/>
      <c r="B11" s="232"/>
      <c r="C11" s="67" t="s">
        <v>145</v>
      </c>
      <c r="D11" s="67"/>
      <c r="E11" s="67"/>
      <c r="F11" s="67"/>
      <c r="G11" s="144" t="s">
        <v>84</v>
      </c>
      <c r="H11" s="144"/>
      <c r="I11" s="144"/>
      <c r="J11" s="144"/>
      <c r="K11" s="144"/>
      <c r="L11" s="125"/>
      <c r="M11" s="101"/>
      <c r="N11" s="137" t="s">
        <v>188</v>
      </c>
      <c r="O11" s="138"/>
      <c r="P11" s="139"/>
      <c r="Q11" s="140" t="s">
        <v>189</v>
      </c>
      <c r="R11" s="140"/>
      <c r="S11" s="140"/>
      <c r="T11" s="140"/>
      <c r="U11" s="141"/>
      <c r="X11" s="66">
        <v>5</v>
      </c>
      <c r="Y11" s="66">
        <v>7</v>
      </c>
    </row>
    <row r="12" spans="1:25" s="66" customFormat="1" ht="30" customHeight="1" thickBot="1" x14ac:dyDescent="0.25">
      <c r="A12" s="254"/>
      <c r="B12" s="233"/>
      <c r="C12" s="69" t="s">
        <v>145</v>
      </c>
      <c r="D12" s="69"/>
      <c r="E12" s="69"/>
      <c r="F12" s="69"/>
      <c r="G12" s="180" t="s">
        <v>164</v>
      </c>
      <c r="H12" s="180"/>
      <c r="I12" s="180"/>
      <c r="J12" s="180"/>
      <c r="K12" s="180"/>
      <c r="L12" s="126"/>
      <c r="M12" s="102"/>
      <c r="N12" s="145"/>
      <c r="O12" s="146"/>
      <c r="P12" s="147"/>
      <c r="Q12" s="142"/>
      <c r="R12" s="142"/>
      <c r="S12" s="142"/>
      <c r="T12" s="142"/>
      <c r="U12" s="143"/>
      <c r="X12" s="66">
        <v>6</v>
      </c>
      <c r="Y12" s="66">
        <v>7</v>
      </c>
    </row>
    <row r="13" spans="1:25" s="66" customFormat="1" ht="30" customHeight="1" thickTop="1" x14ac:dyDescent="0.2">
      <c r="A13" s="252" t="s">
        <v>123</v>
      </c>
      <c r="B13" s="231" t="s">
        <v>77</v>
      </c>
      <c r="C13" s="64" t="s">
        <v>145</v>
      </c>
      <c r="D13" s="64"/>
      <c r="E13" s="64"/>
      <c r="F13" s="64"/>
      <c r="G13" s="150" t="s">
        <v>81</v>
      </c>
      <c r="H13" s="150"/>
      <c r="I13" s="150"/>
      <c r="J13" s="150"/>
      <c r="K13" s="150"/>
      <c r="L13" s="124"/>
      <c r="M13" s="103"/>
      <c r="N13" s="153"/>
      <c r="O13" s="154"/>
      <c r="P13" s="155"/>
      <c r="Q13" s="151"/>
      <c r="R13" s="151"/>
      <c r="S13" s="151"/>
      <c r="T13" s="151"/>
      <c r="U13" s="152"/>
      <c r="X13" s="66">
        <v>7</v>
      </c>
      <c r="Y13" s="66">
        <v>7</v>
      </c>
    </row>
    <row r="14" spans="1:25" s="66" customFormat="1" ht="30" customHeight="1" x14ac:dyDescent="0.2">
      <c r="A14" s="253"/>
      <c r="B14" s="232"/>
      <c r="C14" s="67" t="s">
        <v>145</v>
      </c>
      <c r="D14" s="67"/>
      <c r="E14" s="67"/>
      <c r="F14" s="67"/>
      <c r="G14" s="144" t="s">
        <v>83</v>
      </c>
      <c r="H14" s="144"/>
      <c r="I14" s="144"/>
      <c r="J14" s="144"/>
      <c r="K14" s="144"/>
      <c r="L14" s="125"/>
      <c r="M14" s="101"/>
      <c r="N14" s="137"/>
      <c r="O14" s="138"/>
      <c r="P14" s="139"/>
      <c r="Q14" s="140"/>
      <c r="R14" s="140"/>
      <c r="S14" s="140"/>
      <c r="T14" s="140"/>
      <c r="U14" s="141"/>
      <c r="X14" s="66">
        <v>8</v>
      </c>
      <c r="Y14" s="66">
        <v>6</v>
      </c>
    </row>
    <row r="15" spans="1:25" s="66" customFormat="1" ht="30" customHeight="1" x14ac:dyDescent="0.2">
      <c r="A15" s="253"/>
      <c r="B15" s="232"/>
      <c r="C15" s="67" t="s">
        <v>145</v>
      </c>
      <c r="D15" s="67"/>
      <c r="E15" s="67"/>
      <c r="F15" s="67"/>
      <c r="G15" s="144" t="s">
        <v>90</v>
      </c>
      <c r="H15" s="144"/>
      <c r="I15" s="144"/>
      <c r="J15" s="144"/>
      <c r="K15" s="144"/>
      <c r="L15" s="125"/>
      <c r="M15" s="101"/>
      <c r="N15" s="137"/>
      <c r="O15" s="138"/>
      <c r="P15" s="139"/>
      <c r="Q15" s="140"/>
      <c r="R15" s="140"/>
      <c r="S15" s="140"/>
      <c r="T15" s="140"/>
      <c r="U15" s="141"/>
      <c r="X15" s="66">
        <v>9</v>
      </c>
      <c r="Y15" s="66">
        <v>6</v>
      </c>
    </row>
    <row r="16" spans="1:25" s="66" customFormat="1" ht="30" customHeight="1" thickBot="1" x14ac:dyDescent="0.25">
      <c r="A16" s="253"/>
      <c r="B16" s="232"/>
      <c r="C16" s="67" t="s">
        <v>145</v>
      </c>
      <c r="D16" s="67"/>
      <c r="E16" s="67"/>
      <c r="F16" s="67"/>
      <c r="G16" s="144" t="s">
        <v>164</v>
      </c>
      <c r="H16" s="144"/>
      <c r="I16" s="144"/>
      <c r="J16" s="144"/>
      <c r="K16" s="144"/>
      <c r="L16" s="125"/>
      <c r="M16" s="101"/>
      <c r="N16" s="145"/>
      <c r="O16" s="146"/>
      <c r="P16" s="147"/>
      <c r="Q16" s="140"/>
      <c r="R16" s="140"/>
      <c r="S16" s="140"/>
      <c r="T16" s="140"/>
      <c r="U16" s="141"/>
      <c r="X16" s="66">
        <v>10</v>
      </c>
      <c r="Y16" s="66">
        <v>6</v>
      </c>
    </row>
    <row r="17" spans="1:25" s="66" customFormat="1" ht="30" customHeight="1" thickTop="1" x14ac:dyDescent="0.2">
      <c r="A17" s="252" t="s">
        <v>124</v>
      </c>
      <c r="B17" s="231" t="s">
        <v>78</v>
      </c>
      <c r="C17" s="64" t="s">
        <v>145</v>
      </c>
      <c r="D17" s="64"/>
      <c r="E17" s="64"/>
      <c r="F17" s="64"/>
      <c r="G17" s="150" t="s">
        <v>100</v>
      </c>
      <c r="H17" s="150"/>
      <c r="I17" s="150"/>
      <c r="J17" s="150"/>
      <c r="K17" s="150"/>
      <c r="L17" s="124"/>
      <c r="M17" s="103"/>
      <c r="N17" s="153"/>
      <c r="O17" s="154"/>
      <c r="P17" s="155"/>
      <c r="Q17" s="151"/>
      <c r="R17" s="151"/>
      <c r="S17" s="151"/>
      <c r="T17" s="151"/>
      <c r="U17" s="152"/>
      <c r="X17" s="66">
        <v>11</v>
      </c>
      <c r="Y17" s="66">
        <v>6</v>
      </c>
    </row>
    <row r="18" spans="1:25" s="66" customFormat="1" ht="30" customHeight="1" x14ac:dyDescent="0.2">
      <c r="A18" s="253"/>
      <c r="B18" s="232"/>
      <c r="C18" s="67" t="s">
        <v>144</v>
      </c>
      <c r="D18" s="67"/>
      <c r="E18" s="67"/>
      <c r="F18" s="67"/>
      <c r="G18" s="144" t="s">
        <v>87</v>
      </c>
      <c r="H18" s="144"/>
      <c r="I18" s="144"/>
      <c r="J18" s="144"/>
      <c r="K18" s="144"/>
      <c r="L18" s="127">
        <v>1230752</v>
      </c>
      <c r="M18" s="101"/>
      <c r="N18" s="137" t="s">
        <v>185</v>
      </c>
      <c r="O18" s="138"/>
      <c r="P18" s="139"/>
      <c r="Q18" s="140" t="s">
        <v>202</v>
      </c>
      <c r="R18" s="140"/>
      <c r="S18" s="140"/>
      <c r="T18" s="140"/>
      <c r="U18" s="141"/>
      <c r="X18" s="66">
        <v>12</v>
      </c>
      <c r="Y18" s="66">
        <v>5</v>
      </c>
    </row>
    <row r="19" spans="1:25" s="66" customFormat="1" ht="30" customHeight="1" x14ac:dyDescent="0.2">
      <c r="A19" s="253"/>
      <c r="B19" s="232"/>
      <c r="C19" s="67" t="s">
        <v>145</v>
      </c>
      <c r="D19" s="67"/>
      <c r="E19" s="67"/>
      <c r="F19" s="67"/>
      <c r="G19" s="144" t="s">
        <v>88</v>
      </c>
      <c r="H19" s="144"/>
      <c r="I19" s="144"/>
      <c r="J19" s="144"/>
      <c r="K19" s="144"/>
      <c r="L19" s="125"/>
      <c r="M19" s="101"/>
      <c r="N19" s="137"/>
      <c r="O19" s="138"/>
      <c r="P19" s="139"/>
      <c r="Q19" s="140"/>
      <c r="R19" s="140"/>
      <c r="S19" s="140"/>
      <c r="T19" s="140"/>
      <c r="U19" s="141"/>
      <c r="X19" s="66">
        <v>13</v>
      </c>
      <c r="Y19" s="66">
        <v>5</v>
      </c>
    </row>
    <row r="20" spans="1:25" s="66" customFormat="1" ht="30" customHeight="1" x14ac:dyDescent="0.2">
      <c r="A20" s="253"/>
      <c r="B20" s="232"/>
      <c r="C20" s="67" t="s">
        <v>145</v>
      </c>
      <c r="D20" s="67"/>
      <c r="E20" s="67"/>
      <c r="F20" s="67"/>
      <c r="G20" s="144" t="s">
        <v>91</v>
      </c>
      <c r="H20" s="144"/>
      <c r="I20" s="144"/>
      <c r="J20" s="144"/>
      <c r="K20" s="144"/>
      <c r="L20" s="125"/>
      <c r="M20" s="101"/>
      <c r="N20" s="137"/>
      <c r="O20" s="138"/>
      <c r="P20" s="139"/>
      <c r="Q20" s="140"/>
      <c r="R20" s="140"/>
      <c r="S20" s="140"/>
      <c r="T20" s="140"/>
      <c r="U20" s="141"/>
      <c r="X20" s="66">
        <v>14</v>
      </c>
      <c r="Y20" s="66">
        <v>5</v>
      </c>
    </row>
    <row r="21" spans="1:25" s="66" customFormat="1" ht="30" customHeight="1" thickBot="1" x14ac:dyDescent="0.25">
      <c r="A21" s="254"/>
      <c r="B21" s="233"/>
      <c r="C21" s="69" t="s">
        <v>145</v>
      </c>
      <c r="D21" s="69"/>
      <c r="E21" s="69"/>
      <c r="F21" s="69"/>
      <c r="G21" s="180" t="s">
        <v>164</v>
      </c>
      <c r="H21" s="180"/>
      <c r="I21" s="180"/>
      <c r="J21" s="180"/>
      <c r="K21" s="180"/>
      <c r="L21" s="126"/>
      <c r="M21" s="102"/>
      <c r="N21" s="145"/>
      <c r="O21" s="146"/>
      <c r="P21" s="147"/>
      <c r="Q21" s="142"/>
      <c r="R21" s="142"/>
      <c r="S21" s="142"/>
      <c r="T21" s="142"/>
      <c r="U21" s="143"/>
      <c r="X21" s="66">
        <v>15</v>
      </c>
      <c r="Y21" s="66">
        <v>4</v>
      </c>
    </row>
    <row r="22" spans="1:25" s="66" customFormat="1" ht="30" customHeight="1" thickTop="1" x14ac:dyDescent="0.2">
      <c r="A22" s="252" t="s">
        <v>125</v>
      </c>
      <c r="B22" s="231" t="s">
        <v>79</v>
      </c>
      <c r="C22" s="64" t="s">
        <v>144</v>
      </c>
      <c r="D22" s="64"/>
      <c r="E22" s="64"/>
      <c r="F22" s="64"/>
      <c r="G22" s="150" t="s">
        <v>92</v>
      </c>
      <c r="H22" s="150"/>
      <c r="I22" s="150"/>
      <c r="J22" s="150"/>
      <c r="K22" s="150"/>
      <c r="L22" s="124">
        <v>1230755</v>
      </c>
      <c r="M22" s="103"/>
      <c r="N22" s="153" t="s">
        <v>192</v>
      </c>
      <c r="O22" s="154"/>
      <c r="P22" s="155"/>
      <c r="Q22" s="151" t="s">
        <v>193</v>
      </c>
      <c r="R22" s="151"/>
      <c r="S22" s="151"/>
      <c r="T22" s="151"/>
      <c r="U22" s="152"/>
      <c r="X22" s="66">
        <v>16</v>
      </c>
      <c r="Y22" s="66">
        <v>4</v>
      </c>
    </row>
    <row r="23" spans="1:25" s="66" customFormat="1" ht="30" customHeight="1" x14ac:dyDescent="0.2">
      <c r="A23" s="253"/>
      <c r="B23" s="232"/>
      <c r="C23" s="67" t="s">
        <v>145</v>
      </c>
      <c r="D23" s="67"/>
      <c r="E23" s="67"/>
      <c r="F23" s="67"/>
      <c r="G23" s="144" t="s">
        <v>93</v>
      </c>
      <c r="H23" s="144"/>
      <c r="I23" s="144"/>
      <c r="J23" s="144"/>
      <c r="K23" s="144"/>
      <c r="L23" s="125"/>
      <c r="M23" s="101"/>
      <c r="N23" s="137"/>
      <c r="O23" s="138"/>
      <c r="P23" s="139"/>
      <c r="Q23" s="140"/>
      <c r="R23" s="140"/>
      <c r="S23" s="140"/>
      <c r="T23" s="140"/>
      <c r="U23" s="141"/>
      <c r="X23" s="66">
        <v>17</v>
      </c>
      <c r="Y23" s="66">
        <v>4</v>
      </c>
    </row>
    <row r="24" spans="1:25" s="66" customFormat="1" ht="30" customHeight="1" x14ac:dyDescent="0.2">
      <c r="A24" s="253"/>
      <c r="B24" s="232"/>
      <c r="C24" s="67" t="s">
        <v>145</v>
      </c>
      <c r="D24" s="67"/>
      <c r="E24" s="67"/>
      <c r="F24" s="67"/>
      <c r="G24" s="144" t="s">
        <v>101</v>
      </c>
      <c r="H24" s="144"/>
      <c r="I24" s="144"/>
      <c r="J24" s="144"/>
      <c r="K24" s="144"/>
      <c r="L24" s="125"/>
      <c r="M24" s="101"/>
      <c r="N24" s="137"/>
      <c r="O24" s="138"/>
      <c r="P24" s="139"/>
      <c r="Q24" s="140"/>
      <c r="R24" s="140"/>
      <c r="S24" s="140"/>
      <c r="T24" s="140"/>
      <c r="U24" s="141"/>
      <c r="X24" s="66">
        <v>18</v>
      </c>
      <c r="Y24" s="66">
        <v>3</v>
      </c>
    </row>
    <row r="25" spans="1:25" s="66" customFormat="1" ht="30" customHeight="1" x14ac:dyDescent="0.2">
      <c r="A25" s="253"/>
      <c r="B25" s="232"/>
      <c r="C25" s="67" t="s">
        <v>145</v>
      </c>
      <c r="D25" s="67"/>
      <c r="E25" s="67"/>
      <c r="F25" s="67"/>
      <c r="G25" s="144" t="s">
        <v>94</v>
      </c>
      <c r="H25" s="144"/>
      <c r="I25" s="144"/>
      <c r="J25" s="144"/>
      <c r="K25" s="144"/>
      <c r="L25" s="125"/>
      <c r="M25" s="101"/>
      <c r="N25" s="137"/>
      <c r="O25" s="138"/>
      <c r="P25" s="139"/>
      <c r="Q25" s="140"/>
      <c r="R25" s="140"/>
      <c r="S25" s="140"/>
      <c r="T25" s="140"/>
      <c r="U25" s="141"/>
      <c r="X25" s="66">
        <v>19</v>
      </c>
      <c r="Y25" s="66">
        <v>3</v>
      </c>
    </row>
    <row r="26" spans="1:25" s="66" customFormat="1" ht="30" customHeight="1" x14ac:dyDescent="0.2">
      <c r="A26" s="253"/>
      <c r="B26" s="232"/>
      <c r="C26" s="67" t="s">
        <v>145</v>
      </c>
      <c r="D26" s="67"/>
      <c r="E26" s="67"/>
      <c r="F26" s="67"/>
      <c r="G26" s="144" t="s">
        <v>95</v>
      </c>
      <c r="H26" s="144"/>
      <c r="I26" s="144"/>
      <c r="J26" s="144"/>
      <c r="K26" s="144"/>
      <c r="L26" s="125"/>
      <c r="M26" s="101"/>
      <c r="N26" s="137"/>
      <c r="O26" s="138"/>
      <c r="P26" s="139"/>
      <c r="Q26" s="140"/>
      <c r="R26" s="140"/>
      <c r="S26" s="140"/>
      <c r="T26" s="140"/>
      <c r="U26" s="141"/>
      <c r="X26" s="66">
        <v>20</v>
      </c>
      <c r="Y26" s="66">
        <v>3</v>
      </c>
    </row>
    <row r="27" spans="1:25" s="66" customFormat="1" ht="30" customHeight="1" thickBot="1" x14ac:dyDescent="0.25">
      <c r="A27" s="254"/>
      <c r="B27" s="233"/>
      <c r="C27" s="69" t="s">
        <v>145</v>
      </c>
      <c r="D27" s="69"/>
      <c r="E27" s="69"/>
      <c r="F27" s="69"/>
      <c r="G27" s="180" t="s">
        <v>164</v>
      </c>
      <c r="H27" s="180"/>
      <c r="I27" s="180"/>
      <c r="J27" s="180"/>
      <c r="K27" s="180"/>
      <c r="L27" s="126"/>
      <c r="M27" s="102"/>
      <c r="N27" s="145"/>
      <c r="O27" s="146"/>
      <c r="P27" s="147"/>
      <c r="Q27" s="142"/>
      <c r="R27" s="142"/>
      <c r="S27" s="142"/>
      <c r="T27" s="142"/>
      <c r="U27" s="143"/>
      <c r="X27" s="66">
        <v>21</v>
      </c>
      <c r="Y27" s="66">
        <v>2</v>
      </c>
    </row>
    <row r="28" spans="1:25" s="66" customFormat="1" ht="30" customHeight="1" thickTop="1" x14ac:dyDescent="0.2">
      <c r="A28" s="252" t="s">
        <v>126</v>
      </c>
      <c r="B28" s="171" t="s">
        <v>80</v>
      </c>
      <c r="C28" s="64" t="s">
        <v>145</v>
      </c>
      <c r="D28" s="64"/>
      <c r="E28" s="64"/>
      <c r="F28" s="64"/>
      <c r="G28" s="150" t="s">
        <v>96</v>
      </c>
      <c r="H28" s="150"/>
      <c r="I28" s="150"/>
      <c r="J28" s="150"/>
      <c r="K28" s="150"/>
      <c r="L28" s="124"/>
      <c r="M28" s="103"/>
      <c r="N28" s="153"/>
      <c r="O28" s="154"/>
      <c r="P28" s="155"/>
      <c r="Q28" s="151"/>
      <c r="R28" s="151"/>
      <c r="S28" s="151"/>
      <c r="T28" s="151"/>
      <c r="U28" s="152"/>
      <c r="X28" s="66">
        <v>22</v>
      </c>
      <c r="Y28" s="66">
        <v>2</v>
      </c>
    </row>
    <row r="29" spans="1:25" s="66" customFormat="1" ht="30" customHeight="1" x14ac:dyDescent="0.2">
      <c r="A29" s="253"/>
      <c r="B29" s="172"/>
      <c r="C29" s="67" t="s">
        <v>145</v>
      </c>
      <c r="D29" s="67"/>
      <c r="E29" s="67"/>
      <c r="F29" s="67"/>
      <c r="G29" s="144" t="s">
        <v>97</v>
      </c>
      <c r="H29" s="144"/>
      <c r="I29" s="144"/>
      <c r="J29" s="144"/>
      <c r="K29" s="144"/>
      <c r="L29" s="125"/>
      <c r="M29" s="101"/>
      <c r="N29" s="137"/>
      <c r="O29" s="138"/>
      <c r="P29" s="139"/>
      <c r="Q29" s="140"/>
      <c r="R29" s="140"/>
      <c r="S29" s="140"/>
      <c r="T29" s="140"/>
      <c r="U29" s="141"/>
      <c r="X29" s="51">
        <v>23</v>
      </c>
      <c r="Y29" s="51">
        <v>2</v>
      </c>
    </row>
    <row r="30" spans="1:25" s="66" customFormat="1" ht="30" customHeight="1" x14ac:dyDescent="0.2">
      <c r="A30" s="253"/>
      <c r="B30" s="172"/>
      <c r="C30" s="67" t="s">
        <v>145</v>
      </c>
      <c r="D30" s="67"/>
      <c r="E30" s="67"/>
      <c r="F30" s="67"/>
      <c r="G30" s="144" t="s">
        <v>98</v>
      </c>
      <c r="H30" s="144"/>
      <c r="I30" s="144"/>
      <c r="J30" s="144"/>
      <c r="K30" s="144"/>
      <c r="L30" s="125"/>
      <c r="M30" s="101"/>
      <c r="N30" s="137"/>
      <c r="O30" s="138"/>
      <c r="P30" s="139"/>
      <c r="Q30" s="140"/>
      <c r="R30" s="140"/>
      <c r="S30" s="140"/>
      <c r="T30" s="140"/>
      <c r="U30" s="141"/>
      <c r="X30" s="51">
        <v>24</v>
      </c>
      <c r="Y30" s="51">
        <v>1</v>
      </c>
    </row>
    <row r="31" spans="1:25" s="66" customFormat="1" ht="30" customHeight="1" x14ac:dyDescent="0.2">
      <c r="A31" s="253"/>
      <c r="B31" s="172"/>
      <c r="C31" s="67" t="s">
        <v>144</v>
      </c>
      <c r="D31" s="67"/>
      <c r="E31" s="67"/>
      <c r="F31" s="67"/>
      <c r="G31" s="177" t="s">
        <v>99</v>
      </c>
      <c r="H31" s="177"/>
      <c r="I31" s="177"/>
      <c r="J31" s="177"/>
      <c r="K31" s="177"/>
      <c r="L31" s="125">
        <v>1230722</v>
      </c>
      <c r="M31" s="101"/>
      <c r="N31" s="137" t="s">
        <v>195</v>
      </c>
      <c r="O31" s="138"/>
      <c r="P31" s="139"/>
      <c r="Q31" s="140" t="s">
        <v>184</v>
      </c>
      <c r="R31" s="140"/>
      <c r="S31" s="140"/>
      <c r="T31" s="140"/>
      <c r="U31" s="141"/>
      <c r="X31" s="51">
        <v>25</v>
      </c>
      <c r="Y31" s="51">
        <v>1</v>
      </c>
    </row>
    <row r="32" spans="1:25" s="66" customFormat="1" ht="30" customHeight="1" thickBot="1" x14ac:dyDescent="0.25">
      <c r="A32" s="254"/>
      <c r="B32" s="176"/>
      <c r="C32" s="69" t="s">
        <v>145</v>
      </c>
      <c r="D32" s="69"/>
      <c r="E32" s="69"/>
      <c r="F32" s="69"/>
      <c r="G32" s="180" t="s">
        <v>164</v>
      </c>
      <c r="H32" s="180"/>
      <c r="I32" s="180"/>
      <c r="J32" s="180"/>
      <c r="K32" s="180"/>
      <c r="L32" s="126"/>
      <c r="M32" s="102"/>
      <c r="N32" s="145"/>
      <c r="O32" s="146"/>
      <c r="P32" s="147"/>
      <c r="Q32" s="142"/>
      <c r="R32" s="142"/>
      <c r="S32" s="142"/>
      <c r="T32" s="142"/>
      <c r="U32" s="143"/>
      <c r="X32" s="51">
        <v>26</v>
      </c>
      <c r="Y32" s="51">
        <v>0</v>
      </c>
    </row>
    <row r="33" spans="1:25" s="66" customFormat="1" ht="30" customHeight="1" thickTop="1" thickBot="1" x14ac:dyDescent="0.25">
      <c r="A33" s="104"/>
      <c r="B33" s="105"/>
      <c r="C33" s="94"/>
      <c r="D33" s="94"/>
      <c r="E33" s="94"/>
      <c r="F33" s="94"/>
      <c r="G33" s="106"/>
      <c r="H33" s="106"/>
      <c r="I33" s="106"/>
      <c r="J33" s="106"/>
      <c r="K33" s="106"/>
      <c r="L33" s="107"/>
      <c r="M33" s="107"/>
      <c r="N33" s="107"/>
      <c r="O33" s="107"/>
      <c r="P33" s="107"/>
      <c r="Q33" s="107"/>
      <c r="R33" s="107"/>
      <c r="S33" s="107"/>
      <c r="T33" s="107"/>
      <c r="U33" s="107"/>
    </row>
    <row r="34" spans="1:25" s="66" customFormat="1" ht="21.75" thickTop="1" x14ac:dyDescent="0.2">
      <c r="A34" s="182" t="s">
        <v>154</v>
      </c>
      <c r="B34" s="72" t="s">
        <v>152</v>
      </c>
      <c r="C34" s="80">
        <f>COUNTIF(C7:C32,"NOK")</f>
        <v>4</v>
      </c>
      <c r="D34" s="80">
        <f>COUNTIF(D7:D32,"NOK")</f>
        <v>0</v>
      </c>
      <c r="E34" s="80">
        <f>COUNTIF(E7:E32,"NOK")</f>
        <v>0</v>
      </c>
      <c r="F34" s="98">
        <f>COUNTIF(F7:F32,"NOK")</f>
        <v>0</v>
      </c>
      <c r="G34" s="71"/>
      <c r="H34" s="128" t="s">
        <v>194</v>
      </c>
      <c r="I34" s="128"/>
      <c r="J34" s="128"/>
      <c r="K34" s="128"/>
      <c r="L34" s="71"/>
      <c r="M34" s="71"/>
      <c r="N34" s="71"/>
      <c r="O34" s="71"/>
      <c r="P34" s="71"/>
      <c r="Q34" s="71"/>
      <c r="R34" s="71"/>
      <c r="S34" s="71"/>
      <c r="T34" s="71"/>
      <c r="U34" s="71"/>
      <c r="X34" s="51"/>
      <c r="Y34" s="51"/>
    </row>
    <row r="35" spans="1:25" s="66" customFormat="1" ht="21.75" thickBot="1" x14ac:dyDescent="0.25">
      <c r="A35" s="183"/>
      <c r="B35" s="73" t="s">
        <v>165</v>
      </c>
      <c r="C35" s="82">
        <f>VLOOKUP(C34,$X$6:$Y$32,2,FALSE)</f>
        <v>7</v>
      </c>
      <c r="D35" s="82">
        <f>VLOOKUP(D34,$X$6:$Y$32,2,FALSE)</f>
        <v>9</v>
      </c>
      <c r="E35" s="82">
        <f>VLOOKUP(E34,$X$6:$Y$32,2,FALSE)</f>
        <v>9</v>
      </c>
      <c r="F35" s="83">
        <f>VLOOKUP(F34,$X$6:$Y$32,2,FALSE)</f>
        <v>9</v>
      </c>
      <c r="G35" s="71"/>
      <c r="H35" s="128"/>
      <c r="I35" s="128"/>
      <c r="J35" s="128"/>
      <c r="K35" s="128"/>
      <c r="L35" s="71"/>
      <c r="M35" s="71"/>
      <c r="N35" s="71"/>
      <c r="O35" s="71"/>
      <c r="P35" s="71"/>
      <c r="Q35" s="71"/>
      <c r="R35" s="71"/>
      <c r="S35" s="71"/>
      <c r="T35" s="71"/>
      <c r="U35" s="71"/>
      <c r="X35" s="51"/>
      <c r="Y35" s="51"/>
    </row>
    <row r="36" spans="1:25" ht="20.25" thickTop="1" thickBot="1" x14ac:dyDescent="0.3">
      <c r="A36" s="74" t="s">
        <v>155</v>
      </c>
      <c r="B36" s="75" t="s">
        <v>153</v>
      </c>
      <c r="C36" s="76">
        <v>1</v>
      </c>
      <c r="D36" s="76"/>
      <c r="E36" s="76"/>
      <c r="F36" s="77"/>
      <c r="H36" s="128"/>
      <c r="I36" s="128"/>
      <c r="J36" s="128"/>
      <c r="K36" s="128"/>
      <c r="X36" s="51"/>
      <c r="Y36" s="51"/>
    </row>
    <row r="37" spans="1:25" ht="17.25" thickTop="1" thickBot="1" x14ac:dyDescent="0.3">
      <c r="X37" s="51"/>
      <c r="Y37" s="51"/>
    </row>
    <row r="38" spans="1:25" ht="23.1" customHeight="1" thickTop="1" thickBot="1" x14ac:dyDescent="0.3">
      <c r="A38" s="78"/>
      <c r="B38" s="79" t="s">
        <v>55</v>
      </c>
      <c r="C38" s="84">
        <f>(C35+(C36*0.25))*10</f>
        <v>72.5</v>
      </c>
      <c r="D38" s="84">
        <f t="shared" ref="D38:F38" si="0">(D35+(D36*0.25))*10</f>
        <v>90</v>
      </c>
      <c r="E38" s="84">
        <f t="shared" si="0"/>
        <v>90</v>
      </c>
      <c r="F38" s="85">
        <f t="shared" si="0"/>
        <v>90</v>
      </c>
      <c r="X38" s="51"/>
      <c r="Y38" s="51"/>
    </row>
    <row r="39" spans="1:25" ht="16.5" thickTop="1" x14ac:dyDescent="0.25"/>
  </sheetData>
  <mergeCells count="100">
    <mergeCell ref="G7:K7"/>
    <mergeCell ref="Q7:U7"/>
    <mergeCell ref="A4:B4"/>
    <mergeCell ref="G9:K9"/>
    <mergeCell ref="D2:F2"/>
    <mergeCell ref="D3:F3"/>
    <mergeCell ref="C5:F5"/>
    <mergeCell ref="G5:K6"/>
    <mergeCell ref="A6:B6"/>
    <mergeCell ref="Q9:U9"/>
    <mergeCell ref="L5:P5"/>
    <mergeCell ref="Q5:U5"/>
    <mergeCell ref="N6:P6"/>
    <mergeCell ref="Q6:U6"/>
    <mergeCell ref="N7:P7"/>
    <mergeCell ref="N8:P8"/>
    <mergeCell ref="A34:A35"/>
    <mergeCell ref="G8:K8"/>
    <mergeCell ref="Q8:U8"/>
    <mergeCell ref="Q11:U11"/>
    <mergeCell ref="G12:K12"/>
    <mergeCell ref="Q12:U12"/>
    <mergeCell ref="G13:K13"/>
    <mergeCell ref="Q13:U13"/>
    <mergeCell ref="G11:K11"/>
    <mergeCell ref="N13:P13"/>
    <mergeCell ref="G14:K14"/>
    <mergeCell ref="Q14:U14"/>
    <mergeCell ref="G15:K15"/>
    <mergeCell ref="Q15:U15"/>
    <mergeCell ref="Q16:U16"/>
    <mergeCell ref="Q17:U17"/>
    <mergeCell ref="N16:P16"/>
    <mergeCell ref="N17:P17"/>
    <mergeCell ref="Q18:U18"/>
    <mergeCell ref="Q10:U10"/>
    <mergeCell ref="Q21:U21"/>
    <mergeCell ref="N20:P20"/>
    <mergeCell ref="N21:P21"/>
    <mergeCell ref="G19:K19"/>
    <mergeCell ref="Q19:U19"/>
    <mergeCell ref="N19:P19"/>
    <mergeCell ref="Q20:U20"/>
    <mergeCell ref="G20:K20"/>
    <mergeCell ref="Q23:U23"/>
    <mergeCell ref="G24:K24"/>
    <mergeCell ref="Q24:U24"/>
    <mergeCell ref="G22:K22"/>
    <mergeCell ref="N22:P22"/>
    <mergeCell ref="N23:P23"/>
    <mergeCell ref="N24:P24"/>
    <mergeCell ref="Q22:U22"/>
    <mergeCell ref="Q25:U25"/>
    <mergeCell ref="G26:K26"/>
    <mergeCell ref="Q26:U26"/>
    <mergeCell ref="N25:P25"/>
    <mergeCell ref="N26:P26"/>
    <mergeCell ref="G25:K25"/>
    <mergeCell ref="Q27:U27"/>
    <mergeCell ref="G28:K28"/>
    <mergeCell ref="Q28:U28"/>
    <mergeCell ref="N27:P27"/>
    <mergeCell ref="N28:P28"/>
    <mergeCell ref="G27:K27"/>
    <mergeCell ref="Q29:U29"/>
    <mergeCell ref="G30:K30"/>
    <mergeCell ref="Q30:U30"/>
    <mergeCell ref="N29:P29"/>
    <mergeCell ref="N30:P30"/>
    <mergeCell ref="Q31:U31"/>
    <mergeCell ref="G32:K32"/>
    <mergeCell ref="Q32:U32"/>
    <mergeCell ref="N31:P31"/>
    <mergeCell ref="N32:P32"/>
    <mergeCell ref="A22:A27"/>
    <mergeCell ref="A28:A32"/>
    <mergeCell ref="B28:B32"/>
    <mergeCell ref="A7:A12"/>
    <mergeCell ref="B7:B12"/>
    <mergeCell ref="B13:B16"/>
    <mergeCell ref="A13:A16"/>
    <mergeCell ref="A17:A21"/>
    <mergeCell ref="B17:B21"/>
    <mergeCell ref="B22:B27"/>
    <mergeCell ref="G18:K18"/>
    <mergeCell ref="G23:K23"/>
    <mergeCell ref="G21:K21"/>
    <mergeCell ref="H34:K36"/>
    <mergeCell ref="N9:P9"/>
    <mergeCell ref="N10:P10"/>
    <mergeCell ref="N11:P11"/>
    <mergeCell ref="N12:P12"/>
    <mergeCell ref="N14:P14"/>
    <mergeCell ref="N15:P15"/>
    <mergeCell ref="G16:K16"/>
    <mergeCell ref="G10:K10"/>
    <mergeCell ref="G31:K31"/>
    <mergeCell ref="G29:K29"/>
    <mergeCell ref="N18:P18"/>
    <mergeCell ref="G17:K17"/>
  </mergeCells>
  <conditionalFormatting sqref="C7:F33">
    <cfRule type="cellIs" dxfId="5" priority="7" operator="equal">
      <formula>"NOK"</formula>
    </cfRule>
    <cfRule type="cellIs" dxfId="4" priority="8" operator="equal">
      <formula>"OK"</formula>
    </cfRule>
  </conditionalFormatting>
  <dataValidations disablePrompts="1" count="1">
    <dataValidation type="list" allowBlank="1" showInputMessage="1" showErrorMessage="1" sqref="C7:F33" xr:uid="{00000000-0002-0000-0300-000000000000}">
      <formula1>$C$2:$C$3</formula1>
    </dataValidation>
  </dataValidations>
  <printOptions horizontalCentered="1"/>
  <pageMargins left="0" right="0" top="0" bottom="0" header="0.23622047244094491" footer="0.15748031496062992"/>
  <pageSetup paperSize="9" scale="48"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rgb="FF7030A0"/>
  </sheetPr>
  <dimension ref="A1:Y40"/>
  <sheetViews>
    <sheetView showGridLines="0" tabSelected="1" view="pageBreakPreview" zoomScale="70" zoomScaleNormal="75" zoomScaleSheetLayoutView="70" workbookViewId="0">
      <selection activeCell="N27" sqref="N27:P27"/>
    </sheetView>
  </sheetViews>
  <sheetFormatPr baseColWidth="10" defaultRowHeight="15.75" x14ac:dyDescent="0.25"/>
  <cols>
    <col min="1" max="1" width="4.140625" style="52" customWidth="1"/>
    <col min="2" max="2" width="13.140625" style="49" customWidth="1"/>
    <col min="3" max="6" width="8.7109375" style="49" customWidth="1"/>
    <col min="7" max="7" width="7.140625" style="49" bestFit="1" customWidth="1"/>
    <col min="8" max="8" width="7.5703125" style="49" bestFit="1" customWidth="1"/>
    <col min="9" max="9" width="7.42578125" style="49" customWidth="1"/>
    <col min="10" max="10" width="7" style="50" bestFit="1" customWidth="1"/>
    <col min="11" max="11" width="53.140625" style="49" customWidth="1"/>
    <col min="12" max="13" width="6.7109375" style="49" customWidth="1"/>
    <col min="14" max="16" width="12.7109375" style="49" customWidth="1"/>
    <col min="17" max="17" width="10.7109375" style="49" customWidth="1"/>
    <col min="18" max="18" width="10.42578125" style="49" customWidth="1"/>
    <col min="19" max="19" width="10.140625" style="49" customWidth="1"/>
    <col min="20" max="21" width="9.28515625" style="49" customWidth="1"/>
    <col min="22" max="22" width="4.28515625" style="49" customWidth="1"/>
    <col min="23" max="16384" width="11.42578125" style="49"/>
  </cols>
  <sheetData>
    <row r="1" spans="1:25" ht="45" customHeight="1" x14ac:dyDescent="0.25">
      <c r="A1" s="47"/>
      <c r="B1" s="48"/>
      <c r="C1" s="48"/>
    </row>
    <row r="2" spans="1:25" x14ac:dyDescent="0.25">
      <c r="C2" s="53" t="s">
        <v>145</v>
      </c>
      <c r="D2" s="184" t="s">
        <v>151</v>
      </c>
      <c r="E2" s="185"/>
      <c r="F2" s="186"/>
    </row>
    <row r="3" spans="1:25" ht="22.5" customHeight="1" x14ac:dyDescent="0.25">
      <c r="C3" s="54" t="s">
        <v>144</v>
      </c>
      <c r="D3" s="184" t="s">
        <v>156</v>
      </c>
      <c r="E3" s="185"/>
      <c r="F3" s="186"/>
    </row>
    <row r="4" spans="1:25" s="55" customFormat="1" ht="5.25" customHeight="1" x14ac:dyDescent="0.35">
      <c r="A4" s="189"/>
      <c r="B4" s="189"/>
      <c r="D4" s="56"/>
      <c r="E4" s="56"/>
      <c r="F4" s="56"/>
      <c r="J4" s="57"/>
      <c r="L4" s="58"/>
    </row>
    <row r="5" spans="1:25" ht="18.75" customHeight="1" x14ac:dyDescent="0.25">
      <c r="A5" s="60"/>
      <c r="B5" s="60"/>
      <c r="C5" s="156" t="s">
        <v>146</v>
      </c>
      <c r="D5" s="157"/>
      <c r="E5" s="157"/>
      <c r="F5" s="158"/>
      <c r="G5" s="159" t="s">
        <v>150</v>
      </c>
      <c r="H5" s="160"/>
      <c r="I5" s="160"/>
      <c r="J5" s="160"/>
      <c r="K5" s="161"/>
      <c r="L5" s="165" t="s">
        <v>147</v>
      </c>
      <c r="M5" s="166"/>
      <c r="N5" s="166"/>
      <c r="O5" s="166"/>
      <c r="P5" s="167"/>
      <c r="Q5" s="129" t="s">
        <v>148</v>
      </c>
      <c r="R5" s="130"/>
      <c r="S5" s="130"/>
      <c r="T5" s="130"/>
      <c r="U5" s="131"/>
    </row>
    <row r="6" spans="1:25" ht="39" customHeight="1" thickBot="1" x14ac:dyDescent="0.3">
      <c r="A6" s="187" t="s">
        <v>149</v>
      </c>
      <c r="B6" s="188"/>
      <c r="C6" s="61" t="s">
        <v>1</v>
      </c>
      <c r="D6" s="61" t="s">
        <v>2</v>
      </c>
      <c r="E6" s="61" t="s">
        <v>3</v>
      </c>
      <c r="F6" s="61" t="s">
        <v>4</v>
      </c>
      <c r="G6" s="162"/>
      <c r="H6" s="163"/>
      <c r="I6" s="163"/>
      <c r="J6" s="163"/>
      <c r="K6" s="164"/>
      <c r="L6" s="62"/>
      <c r="M6" s="63"/>
      <c r="N6" s="132"/>
      <c r="O6" s="132"/>
      <c r="P6" s="133"/>
      <c r="Q6" s="134"/>
      <c r="R6" s="135"/>
      <c r="S6" s="135"/>
      <c r="T6" s="135"/>
      <c r="U6" s="136"/>
      <c r="X6" s="49">
        <v>0</v>
      </c>
      <c r="Y6" s="49">
        <v>9</v>
      </c>
    </row>
    <row r="7" spans="1:25" s="66" customFormat="1" ht="30" customHeight="1" thickTop="1" x14ac:dyDescent="0.2">
      <c r="A7" s="168" t="s">
        <v>13</v>
      </c>
      <c r="B7" s="171" t="s">
        <v>142</v>
      </c>
      <c r="C7" s="64" t="s">
        <v>145</v>
      </c>
      <c r="D7" s="64"/>
      <c r="E7" s="64"/>
      <c r="F7" s="64"/>
      <c r="G7" s="150" t="s">
        <v>158</v>
      </c>
      <c r="H7" s="150"/>
      <c r="I7" s="150"/>
      <c r="J7" s="150"/>
      <c r="K7" s="150"/>
      <c r="L7" s="99"/>
      <c r="M7" s="99"/>
      <c r="N7" s="153" t="s">
        <v>208</v>
      </c>
      <c r="O7" s="154"/>
      <c r="P7" s="155"/>
      <c r="Q7" s="151" t="s">
        <v>207</v>
      </c>
      <c r="R7" s="151"/>
      <c r="S7" s="151"/>
      <c r="T7" s="151"/>
      <c r="U7" s="152"/>
      <c r="X7" s="66">
        <v>1</v>
      </c>
      <c r="Y7" s="66">
        <v>8</v>
      </c>
    </row>
    <row r="8" spans="1:25" s="66" customFormat="1" ht="30" customHeight="1" x14ac:dyDescent="0.2">
      <c r="A8" s="169"/>
      <c r="B8" s="172"/>
      <c r="C8" s="67" t="s">
        <v>145</v>
      </c>
      <c r="D8" s="67"/>
      <c r="E8" s="67"/>
      <c r="F8" s="67"/>
      <c r="G8" s="144" t="s">
        <v>159</v>
      </c>
      <c r="H8" s="144"/>
      <c r="I8" s="144"/>
      <c r="J8" s="144"/>
      <c r="K8" s="144"/>
      <c r="L8" s="100"/>
      <c r="M8" s="100"/>
      <c r="N8" s="137"/>
      <c r="O8" s="138"/>
      <c r="P8" s="139"/>
      <c r="Q8" s="140"/>
      <c r="R8" s="140"/>
      <c r="S8" s="140"/>
      <c r="T8" s="140"/>
      <c r="U8" s="141"/>
      <c r="X8" s="66">
        <v>2</v>
      </c>
      <c r="Y8" s="66">
        <v>8</v>
      </c>
    </row>
    <row r="9" spans="1:25" s="66" customFormat="1" ht="30" customHeight="1" x14ac:dyDescent="0.2">
      <c r="A9" s="169"/>
      <c r="B9" s="172"/>
      <c r="C9" s="67" t="s">
        <v>145</v>
      </c>
      <c r="D9" s="67"/>
      <c r="E9" s="67"/>
      <c r="F9" s="67"/>
      <c r="G9" s="144" t="s">
        <v>160</v>
      </c>
      <c r="H9" s="144"/>
      <c r="I9" s="144"/>
      <c r="J9" s="144"/>
      <c r="K9" s="144"/>
      <c r="L9" s="100"/>
      <c r="M9" s="100"/>
      <c r="N9" s="137"/>
      <c r="O9" s="138"/>
      <c r="P9" s="139"/>
      <c r="Q9" s="140"/>
      <c r="R9" s="140"/>
      <c r="S9" s="140"/>
      <c r="T9" s="140"/>
      <c r="U9" s="141"/>
      <c r="X9" s="66">
        <v>3</v>
      </c>
      <c r="Y9" s="66">
        <v>8</v>
      </c>
    </row>
    <row r="10" spans="1:25" s="66" customFormat="1" ht="30" customHeight="1" x14ac:dyDescent="0.2">
      <c r="A10" s="169"/>
      <c r="B10" s="172"/>
      <c r="C10" s="67" t="s">
        <v>145</v>
      </c>
      <c r="D10" s="67"/>
      <c r="E10" s="67"/>
      <c r="F10" s="67"/>
      <c r="G10" s="144" t="s">
        <v>161</v>
      </c>
      <c r="H10" s="144"/>
      <c r="I10" s="144"/>
      <c r="J10" s="144"/>
      <c r="K10" s="144"/>
      <c r="L10" s="100"/>
      <c r="M10" s="100"/>
      <c r="N10" s="137"/>
      <c r="O10" s="138"/>
      <c r="P10" s="139"/>
      <c r="Q10" s="140"/>
      <c r="R10" s="140"/>
      <c r="S10" s="140"/>
      <c r="T10" s="140"/>
      <c r="U10" s="141"/>
      <c r="X10" s="66">
        <v>4</v>
      </c>
      <c r="Y10" s="66">
        <v>7</v>
      </c>
    </row>
    <row r="11" spans="1:25" s="66" customFormat="1" ht="30" customHeight="1" x14ac:dyDescent="0.2">
      <c r="A11" s="169"/>
      <c r="B11" s="172"/>
      <c r="C11" s="67" t="s">
        <v>145</v>
      </c>
      <c r="D11" s="67"/>
      <c r="E11" s="67"/>
      <c r="F11" s="67"/>
      <c r="G11" s="144" t="s">
        <v>162</v>
      </c>
      <c r="H11" s="144"/>
      <c r="I11" s="144"/>
      <c r="J11" s="144"/>
      <c r="K11" s="144"/>
      <c r="L11" s="100"/>
      <c r="M11" s="100"/>
      <c r="N11" s="137" t="s">
        <v>218</v>
      </c>
      <c r="O11" s="138"/>
      <c r="P11" s="139"/>
      <c r="Q11" s="140"/>
      <c r="R11" s="140"/>
      <c r="S11" s="140"/>
      <c r="T11" s="140"/>
      <c r="U11" s="141"/>
      <c r="X11" s="66">
        <v>5</v>
      </c>
      <c r="Y11" s="66">
        <v>7</v>
      </c>
    </row>
    <row r="12" spans="1:25" s="66" customFormat="1" ht="30" customHeight="1" x14ac:dyDescent="0.2">
      <c r="A12" s="169"/>
      <c r="B12" s="172"/>
      <c r="C12" s="67" t="s">
        <v>145</v>
      </c>
      <c r="D12" s="67"/>
      <c r="E12" s="67"/>
      <c r="F12" s="67"/>
      <c r="G12" s="144" t="s">
        <v>163</v>
      </c>
      <c r="H12" s="144"/>
      <c r="I12" s="144"/>
      <c r="J12" s="144"/>
      <c r="K12" s="144"/>
      <c r="L12" s="100"/>
      <c r="M12" s="100"/>
      <c r="N12" s="137"/>
      <c r="O12" s="138"/>
      <c r="P12" s="139"/>
      <c r="Q12" s="140"/>
      <c r="R12" s="140"/>
      <c r="S12" s="140"/>
      <c r="T12" s="140"/>
      <c r="U12" s="141"/>
      <c r="X12" s="66">
        <v>6</v>
      </c>
      <c r="Y12" s="66">
        <v>7</v>
      </c>
    </row>
    <row r="13" spans="1:25" s="66" customFormat="1" ht="46.5" customHeight="1" x14ac:dyDescent="0.2">
      <c r="A13" s="169"/>
      <c r="B13" s="172"/>
      <c r="C13" s="67" t="s">
        <v>145</v>
      </c>
      <c r="D13" s="67"/>
      <c r="E13" s="67"/>
      <c r="F13" s="67"/>
      <c r="G13" s="177" t="s">
        <v>215</v>
      </c>
      <c r="H13" s="177"/>
      <c r="I13" s="177"/>
      <c r="J13" s="177"/>
      <c r="K13" s="177"/>
      <c r="L13" s="100"/>
      <c r="M13" s="100"/>
      <c r="N13" s="137"/>
      <c r="O13" s="138"/>
      <c r="P13" s="139"/>
      <c r="Q13" s="140"/>
      <c r="R13" s="140"/>
      <c r="S13" s="140"/>
      <c r="T13" s="140"/>
      <c r="U13" s="141"/>
      <c r="X13" s="66">
        <v>7</v>
      </c>
      <c r="Y13" s="66">
        <v>7</v>
      </c>
    </row>
    <row r="14" spans="1:25" s="66" customFormat="1" ht="30" customHeight="1" thickBot="1" x14ac:dyDescent="0.25">
      <c r="A14" s="170"/>
      <c r="B14" s="173"/>
      <c r="C14" s="108" t="s">
        <v>145</v>
      </c>
      <c r="D14" s="108"/>
      <c r="E14" s="108"/>
      <c r="F14" s="108"/>
      <c r="G14" s="174"/>
      <c r="H14" s="174"/>
      <c r="I14" s="174"/>
      <c r="J14" s="174"/>
      <c r="K14" s="174"/>
      <c r="L14" s="109"/>
      <c r="M14" s="109"/>
      <c r="N14" s="145"/>
      <c r="O14" s="146"/>
      <c r="P14" s="147"/>
      <c r="Q14" s="148"/>
      <c r="R14" s="148"/>
      <c r="S14" s="148"/>
      <c r="T14" s="148"/>
      <c r="U14" s="149"/>
      <c r="X14" s="66">
        <v>8</v>
      </c>
      <c r="Y14" s="66">
        <v>6</v>
      </c>
    </row>
    <row r="15" spans="1:25" s="66" customFormat="1" ht="30" customHeight="1" thickTop="1" x14ac:dyDescent="0.2">
      <c r="A15" s="168" t="s">
        <v>14</v>
      </c>
      <c r="B15" s="171" t="s">
        <v>104</v>
      </c>
      <c r="C15" s="64" t="s">
        <v>145</v>
      </c>
      <c r="D15" s="64"/>
      <c r="E15" s="64"/>
      <c r="F15" s="64"/>
      <c r="G15" s="150" t="s">
        <v>102</v>
      </c>
      <c r="H15" s="150"/>
      <c r="I15" s="150"/>
      <c r="J15" s="150"/>
      <c r="K15" s="150"/>
      <c r="L15" s="99"/>
      <c r="M15" s="99"/>
      <c r="N15" s="153"/>
      <c r="O15" s="154"/>
      <c r="P15" s="155"/>
      <c r="Q15" s="151"/>
      <c r="R15" s="151"/>
      <c r="S15" s="151"/>
      <c r="T15" s="151"/>
      <c r="U15" s="152"/>
      <c r="X15" s="66">
        <v>9</v>
      </c>
      <c r="Y15" s="66">
        <v>6</v>
      </c>
    </row>
    <row r="16" spans="1:25" s="66" customFormat="1" ht="30" customHeight="1" x14ac:dyDescent="0.2">
      <c r="A16" s="169"/>
      <c r="B16" s="172"/>
      <c r="C16" s="67" t="s">
        <v>145</v>
      </c>
      <c r="D16" s="67"/>
      <c r="E16" s="67"/>
      <c r="F16" s="67"/>
      <c r="G16" s="144" t="s">
        <v>103</v>
      </c>
      <c r="H16" s="144"/>
      <c r="I16" s="144"/>
      <c r="J16" s="144"/>
      <c r="K16" s="144"/>
      <c r="L16" s="100"/>
      <c r="M16" s="100"/>
      <c r="N16" s="137"/>
      <c r="O16" s="138"/>
      <c r="P16" s="139"/>
      <c r="Q16" s="140"/>
      <c r="R16" s="140"/>
      <c r="S16" s="140"/>
      <c r="T16" s="140"/>
      <c r="U16" s="141"/>
      <c r="X16" s="66">
        <v>10</v>
      </c>
      <c r="Y16" s="66">
        <v>6</v>
      </c>
    </row>
    <row r="17" spans="1:25" s="66" customFormat="1" ht="30" customHeight="1" x14ac:dyDescent="0.2">
      <c r="A17" s="169"/>
      <c r="B17" s="172"/>
      <c r="C17" s="67" t="s">
        <v>144</v>
      </c>
      <c r="D17" s="67"/>
      <c r="E17" s="67"/>
      <c r="F17" s="67"/>
      <c r="G17" s="144" t="s">
        <v>105</v>
      </c>
      <c r="H17" s="144"/>
      <c r="I17" s="144"/>
      <c r="J17" s="144"/>
      <c r="K17" s="144"/>
      <c r="L17" s="100"/>
      <c r="M17" s="100"/>
      <c r="N17" s="137" t="s">
        <v>190</v>
      </c>
      <c r="O17" s="138"/>
      <c r="P17" s="139"/>
      <c r="Q17" s="140" t="s">
        <v>191</v>
      </c>
      <c r="R17" s="140"/>
      <c r="S17" s="140"/>
      <c r="T17" s="140"/>
      <c r="U17" s="141"/>
      <c r="X17" s="66">
        <v>11</v>
      </c>
      <c r="Y17" s="66">
        <v>6</v>
      </c>
    </row>
    <row r="18" spans="1:25" s="66" customFormat="1" ht="30" customHeight="1" x14ac:dyDescent="0.2">
      <c r="A18" s="169"/>
      <c r="B18" s="172"/>
      <c r="C18" s="67" t="s">
        <v>145</v>
      </c>
      <c r="D18" s="67"/>
      <c r="E18" s="67"/>
      <c r="F18" s="67"/>
      <c r="G18" s="144" t="s">
        <v>106</v>
      </c>
      <c r="H18" s="144"/>
      <c r="I18" s="144"/>
      <c r="J18" s="144"/>
      <c r="K18" s="144"/>
      <c r="L18" s="100"/>
      <c r="M18" s="100"/>
      <c r="N18" s="137" t="s">
        <v>209</v>
      </c>
      <c r="O18" s="138"/>
      <c r="P18" s="139"/>
      <c r="Q18" s="140" t="s">
        <v>210</v>
      </c>
      <c r="R18" s="140"/>
      <c r="S18" s="140"/>
      <c r="T18" s="140"/>
      <c r="U18" s="141"/>
      <c r="X18" s="66">
        <v>12</v>
      </c>
      <c r="Y18" s="66">
        <v>5</v>
      </c>
    </row>
    <row r="19" spans="1:25" s="66" customFormat="1" ht="30" customHeight="1" thickBot="1" x14ac:dyDescent="0.25">
      <c r="A19" s="170"/>
      <c r="B19" s="173"/>
      <c r="C19" s="108" t="s">
        <v>145</v>
      </c>
      <c r="D19" s="108"/>
      <c r="E19" s="108"/>
      <c r="F19" s="108"/>
      <c r="G19" s="178" t="s">
        <v>164</v>
      </c>
      <c r="H19" s="178"/>
      <c r="I19" s="178"/>
      <c r="J19" s="178"/>
      <c r="K19" s="178"/>
      <c r="L19" s="109"/>
      <c r="M19" s="109"/>
      <c r="N19" s="145"/>
      <c r="O19" s="146"/>
      <c r="P19" s="147"/>
      <c r="Q19" s="148"/>
      <c r="R19" s="148"/>
      <c r="S19" s="148"/>
      <c r="T19" s="148"/>
      <c r="U19" s="149"/>
      <c r="X19" s="66">
        <v>13</v>
      </c>
      <c r="Y19" s="66">
        <v>5</v>
      </c>
    </row>
    <row r="20" spans="1:25" s="66" customFormat="1" ht="30" customHeight="1" thickTop="1" x14ac:dyDescent="0.2">
      <c r="A20" s="168" t="s">
        <v>15</v>
      </c>
      <c r="B20" s="171" t="s">
        <v>107</v>
      </c>
      <c r="C20" s="64" t="s">
        <v>144</v>
      </c>
      <c r="D20" s="64"/>
      <c r="E20" s="64"/>
      <c r="F20" s="64"/>
      <c r="G20" s="150" t="s">
        <v>108</v>
      </c>
      <c r="H20" s="150"/>
      <c r="I20" s="150"/>
      <c r="J20" s="150"/>
      <c r="K20" s="150"/>
      <c r="L20" s="99"/>
      <c r="M20" s="99"/>
      <c r="N20" s="153" t="s">
        <v>217</v>
      </c>
      <c r="O20" s="154"/>
      <c r="P20" s="155"/>
      <c r="Q20" s="151"/>
      <c r="R20" s="151"/>
      <c r="S20" s="151"/>
      <c r="T20" s="151"/>
      <c r="U20" s="152"/>
      <c r="X20" s="66">
        <v>14</v>
      </c>
      <c r="Y20" s="66">
        <v>5</v>
      </c>
    </row>
    <row r="21" spans="1:25" s="66" customFormat="1" ht="30" customHeight="1" x14ac:dyDescent="0.2">
      <c r="A21" s="169"/>
      <c r="B21" s="172"/>
      <c r="C21" s="67" t="s">
        <v>144</v>
      </c>
      <c r="D21" s="67"/>
      <c r="E21" s="67"/>
      <c r="F21" s="67"/>
      <c r="G21" s="144" t="s">
        <v>109</v>
      </c>
      <c r="H21" s="144"/>
      <c r="I21" s="144"/>
      <c r="J21" s="144"/>
      <c r="K21" s="144"/>
      <c r="L21" s="100"/>
      <c r="M21" s="100"/>
      <c r="N21" s="137" t="s">
        <v>211</v>
      </c>
      <c r="O21" s="138"/>
      <c r="P21" s="139"/>
      <c r="Q21" s="140" t="s">
        <v>212</v>
      </c>
      <c r="R21" s="140"/>
      <c r="S21" s="140"/>
      <c r="T21" s="140"/>
      <c r="U21" s="141"/>
      <c r="X21" s="66">
        <v>15</v>
      </c>
      <c r="Y21" s="66">
        <v>4</v>
      </c>
    </row>
    <row r="22" spans="1:25" s="66" customFormat="1" ht="30" customHeight="1" x14ac:dyDescent="0.2">
      <c r="A22" s="169"/>
      <c r="B22" s="172"/>
      <c r="C22" s="67" t="s">
        <v>144</v>
      </c>
      <c r="D22" s="67"/>
      <c r="E22" s="67"/>
      <c r="F22" s="67"/>
      <c r="G22" s="144" t="s">
        <v>139</v>
      </c>
      <c r="H22" s="144"/>
      <c r="I22" s="144"/>
      <c r="J22" s="144"/>
      <c r="K22" s="144"/>
      <c r="L22" s="100"/>
      <c r="M22" s="100"/>
      <c r="N22" s="137" t="s">
        <v>217</v>
      </c>
      <c r="O22" s="138"/>
      <c r="P22" s="139"/>
      <c r="Q22" s="140"/>
      <c r="R22" s="140"/>
      <c r="S22" s="140"/>
      <c r="T22" s="140"/>
      <c r="U22" s="141"/>
      <c r="X22" s="66">
        <v>16</v>
      </c>
      <c r="Y22" s="66">
        <v>4</v>
      </c>
    </row>
    <row r="23" spans="1:25" s="66" customFormat="1" ht="30" customHeight="1" thickBot="1" x14ac:dyDescent="0.25">
      <c r="A23" s="170"/>
      <c r="B23" s="173"/>
      <c r="C23" s="108" t="s">
        <v>145</v>
      </c>
      <c r="D23" s="108"/>
      <c r="E23" s="108"/>
      <c r="F23" s="108"/>
      <c r="G23" s="178" t="s">
        <v>164</v>
      </c>
      <c r="H23" s="178"/>
      <c r="I23" s="178"/>
      <c r="J23" s="178"/>
      <c r="K23" s="178"/>
      <c r="L23" s="109"/>
      <c r="M23" s="109"/>
      <c r="N23" s="145"/>
      <c r="O23" s="146"/>
      <c r="P23" s="147"/>
      <c r="Q23" s="148"/>
      <c r="R23" s="148"/>
      <c r="S23" s="148"/>
      <c r="T23" s="148"/>
      <c r="U23" s="149"/>
      <c r="X23" s="66">
        <v>17</v>
      </c>
      <c r="Y23" s="66">
        <v>4</v>
      </c>
    </row>
    <row r="24" spans="1:25" s="66" customFormat="1" ht="30" customHeight="1" thickTop="1" x14ac:dyDescent="0.2">
      <c r="A24" s="168" t="s">
        <v>16</v>
      </c>
      <c r="B24" s="171" t="s">
        <v>115</v>
      </c>
      <c r="C24" s="64" t="s">
        <v>145</v>
      </c>
      <c r="D24" s="64"/>
      <c r="E24" s="64"/>
      <c r="F24" s="64"/>
      <c r="G24" s="181" t="s">
        <v>110</v>
      </c>
      <c r="H24" s="181"/>
      <c r="I24" s="181"/>
      <c r="J24" s="181"/>
      <c r="K24" s="181"/>
      <c r="L24" s="99"/>
      <c r="M24" s="99"/>
      <c r="N24" s="153" t="s">
        <v>213</v>
      </c>
      <c r="O24" s="154"/>
      <c r="P24" s="155"/>
      <c r="Q24" s="151"/>
      <c r="R24" s="151"/>
      <c r="S24" s="151"/>
      <c r="T24" s="151"/>
      <c r="U24" s="152"/>
      <c r="X24" s="66">
        <v>18</v>
      </c>
      <c r="Y24" s="66">
        <v>3</v>
      </c>
    </row>
    <row r="25" spans="1:25" s="66" customFormat="1" ht="30" customHeight="1" x14ac:dyDescent="0.2">
      <c r="A25" s="169"/>
      <c r="B25" s="172"/>
      <c r="C25" s="67" t="s">
        <v>145</v>
      </c>
      <c r="D25" s="67"/>
      <c r="E25" s="67"/>
      <c r="F25" s="67"/>
      <c r="G25" s="179" t="s">
        <v>111</v>
      </c>
      <c r="H25" s="179"/>
      <c r="I25" s="179"/>
      <c r="J25" s="179"/>
      <c r="K25" s="179"/>
      <c r="L25" s="100"/>
      <c r="M25" s="100"/>
      <c r="N25" s="137" t="s">
        <v>214</v>
      </c>
      <c r="O25" s="138"/>
      <c r="P25" s="139"/>
      <c r="Q25" s="140"/>
      <c r="R25" s="140"/>
      <c r="S25" s="140"/>
      <c r="T25" s="140"/>
      <c r="U25" s="141"/>
      <c r="X25" s="66">
        <v>19</v>
      </c>
      <c r="Y25" s="66">
        <v>3</v>
      </c>
    </row>
    <row r="26" spans="1:25" s="66" customFormat="1" ht="30" customHeight="1" x14ac:dyDescent="0.2">
      <c r="A26" s="169"/>
      <c r="B26" s="172"/>
      <c r="C26" s="67" t="s">
        <v>145</v>
      </c>
      <c r="D26" s="67"/>
      <c r="E26" s="67"/>
      <c r="F26" s="67"/>
      <c r="G26" s="179" t="s">
        <v>112</v>
      </c>
      <c r="H26" s="179"/>
      <c r="I26" s="179"/>
      <c r="J26" s="179"/>
      <c r="K26" s="179"/>
      <c r="L26" s="100"/>
      <c r="M26" s="100"/>
      <c r="N26" s="137"/>
      <c r="O26" s="138"/>
      <c r="P26" s="139"/>
      <c r="Q26" s="140"/>
      <c r="R26" s="140"/>
      <c r="S26" s="140"/>
      <c r="T26" s="140"/>
      <c r="U26" s="141"/>
      <c r="X26" s="66">
        <v>20</v>
      </c>
      <c r="Y26" s="66">
        <v>3</v>
      </c>
    </row>
    <row r="27" spans="1:25" s="66" customFormat="1" ht="30" customHeight="1" x14ac:dyDescent="0.2">
      <c r="A27" s="169"/>
      <c r="B27" s="172"/>
      <c r="C27" s="67" t="s">
        <v>144</v>
      </c>
      <c r="D27" s="67"/>
      <c r="E27" s="67"/>
      <c r="F27" s="67"/>
      <c r="G27" s="179" t="s">
        <v>113</v>
      </c>
      <c r="H27" s="179"/>
      <c r="I27" s="179"/>
      <c r="J27" s="179"/>
      <c r="K27" s="179"/>
      <c r="L27" s="100"/>
      <c r="M27" s="100"/>
      <c r="N27" s="137" t="s">
        <v>205</v>
      </c>
      <c r="O27" s="138"/>
      <c r="P27" s="139"/>
      <c r="Q27" s="140" t="s">
        <v>206</v>
      </c>
      <c r="R27" s="140"/>
      <c r="S27" s="140"/>
      <c r="T27" s="140"/>
      <c r="U27" s="141"/>
      <c r="X27" s="66">
        <v>21</v>
      </c>
      <c r="Y27" s="66">
        <v>2</v>
      </c>
    </row>
    <row r="28" spans="1:25" s="66" customFormat="1" ht="30" customHeight="1" thickBot="1" x14ac:dyDescent="0.25">
      <c r="A28" s="170"/>
      <c r="B28" s="173"/>
      <c r="C28" s="108" t="s">
        <v>145</v>
      </c>
      <c r="D28" s="108"/>
      <c r="E28" s="108"/>
      <c r="F28" s="108"/>
      <c r="G28" s="178" t="s">
        <v>164</v>
      </c>
      <c r="H28" s="178"/>
      <c r="I28" s="178"/>
      <c r="J28" s="178"/>
      <c r="K28" s="178"/>
      <c r="L28" s="109"/>
      <c r="M28" s="109"/>
      <c r="N28" s="145"/>
      <c r="O28" s="146"/>
      <c r="P28" s="147"/>
      <c r="Q28" s="148"/>
      <c r="R28" s="148"/>
      <c r="S28" s="148"/>
      <c r="T28" s="148"/>
      <c r="U28" s="149"/>
      <c r="X28" s="66">
        <v>22</v>
      </c>
      <c r="Y28" s="66">
        <v>2</v>
      </c>
    </row>
    <row r="29" spans="1:25" s="66" customFormat="1" ht="30" customHeight="1" thickTop="1" x14ac:dyDescent="0.2">
      <c r="A29" s="168" t="s">
        <v>17</v>
      </c>
      <c r="B29" s="171" t="s">
        <v>114</v>
      </c>
      <c r="C29" s="64" t="s">
        <v>145</v>
      </c>
      <c r="D29" s="64"/>
      <c r="E29" s="64"/>
      <c r="F29" s="64"/>
      <c r="G29" s="150" t="s">
        <v>116</v>
      </c>
      <c r="H29" s="150"/>
      <c r="I29" s="150"/>
      <c r="J29" s="150"/>
      <c r="K29" s="150"/>
      <c r="L29" s="99"/>
      <c r="M29" s="99"/>
      <c r="N29" s="153"/>
      <c r="O29" s="154"/>
      <c r="P29" s="155"/>
      <c r="Q29" s="151"/>
      <c r="R29" s="151"/>
      <c r="S29" s="151"/>
      <c r="T29" s="151"/>
      <c r="U29" s="152"/>
      <c r="X29" s="51">
        <v>23</v>
      </c>
      <c r="Y29" s="51">
        <v>2</v>
      </c>
    </row>
    <row r="30" spans="1:25" s="66" customFormat="1" ht="30" customHeight="1" x14ac:dyDescent="0.2">
      <c r="A30" s="169"/>
      <c r="B30" s="172"/>
      <c r="C30" s="67" t="s">
        <v>145</v>
      </c>
      <c r="D30" s="67"/>
      <c r="E30" s="67"/>
      <c r="F30" s="67"/>
      <c r="G30" s="144" t="s">
        <v>117</v>
      </c>
      <c r="H30" s="144"/>
      <c r="I30" s="144"/>
      <c r="J30" s="144"/>
      <c r="K30" s="144"/>
      <c r="L30" s="100"/>
      <c r="M30" s="100"/>
      <c r="N30" s="137" t="s">
        <v>227</v>
      </c>
      <c r="O30" s="138"/>
      <c r="P30" s="139"/>
      <c r="Q30" s="140" t="s">
        <v>216</v>
      </c>
      <c r="R30" s="140"/>
      <c r="S30" s="140"/>
      <c r="T30" s="140"/>
      <c r="U30" s="141"/>
      <c r="X30" s="51">
        <v>24</v>
      </c>
      <c r="Y30" s="51">
        <v>1</v>
      </c>
    </row>
    <row r="31" spans="1:25" s="66" customFormat="1" ht="30" customHeight="1" x14ac:dyDescent="0.2">
      <c r="A31" s="169"/>
      <c r="B31" s="172"/>
      <c r="C31" s="67" t="s">
        <v>145</v>
      </c>
      <c r="D31" s="67"/>
      <c r="E31" s="67"/>
      <c r="F31" s="67"/>
      <c r="G31" s="144" t="s">
        <v>140</v>
      </c>
      <c r="H31" s="144"/>
      <c r="I31" s="144"/>
      <c r="J31" s="144"/>
      <c r="K31" s="144"/>
      <c r="L31" s="100"/>
      <c r="M31" s="100"/>
      <c r="N31" s="137"/>
      <c r="O31" s="138"/>
      <c r="P31" s="139"/>
      <c r="Q31" s="140"/>
      <c r="R31" s="140"/>
      <c r="S31" s="140"/>
      <c r="T31" s="140"/>
      <c r="U31" s="141"/>
      <c r="X31" s="51">
        <v>25</v>
      </c>
      <c r="Y31" s="51">
        <v>1</v>
      </c>
    </row>
    <row r="32" spans="1:25" s="66" customFormat="1" ht="30" customHeight="1" thickBot="1" x14ac:dyDescent="0.25">
      <c r="A32" s="175"/>
      <c r="B32" s="176"/>
      <c r="C32" s="69" t="s">
        <v>145</v>
      </c>
      <c r="D32" s="69"/>
      <c r="E32" s="69"/>
      <c r="F32" s="69"/>
      <c r="G32" s="180" t="s">
        <v>164</v>
      </c>
      <c r="H32" s="180"/>
      <c r="I32" s="180"/>
      <c r="J32" s="180"/>
      <c r="K32" s="180"/>
      <c r="L32" s="110"/>
      <c r="M32" s="110"/>
      <c r="N32" s="145"/>
      <c r="O32" s="146"/>
      <c r="P32" s="147"/>
      <c r="Q32" s="142"/>
      <c r="R32" s="142"/>
      <c r="S32" s="142"/>
      <c r="T32" s="142"/>
      <c r="U32" s="143"/>
      <c r="X32" s="51">
        <v>26</v>
      </c>
      <c r="Y32" s="51">
        <v>0</v>
      </c>
    </row>
    <row r="33" spans="1:25" s="66" customFormat="1" ht="30" customHeight="1" thickTop="1" x14ac:dyDescent="0.2">
      <c r="A33" s="104"/>
      <c r="B33" s="105"/>
      <c r="C33" s="94"/>
      <c r="D33" s="94"/>
      <c r="E33" s="94"/>
      <c r="F33" s="94"/>
      <c r="G33" s="106"/>
      <c r="H33" s="106"/>
      <c r="I33" s="106"/>
      <c r="J33" s="106"/>
      <c r="K33" s="106"/>
      <c r="L33" s="111"/>
      <c r="M33" s="111"/>
      <c r="N33" s="111"/>
      <c r="O33" s="111"/>
      <c r="P33" s="111"/>
      <c r="Q33" s="111"/>
      <c r="R33" s="111"/>
      <c r="S33" s="111"/>
      <c r="T33" s="111"/>
      <c r="U33" s="111"/>
    </row>
    <row r="34" spans="1:25" ht="16.5" thickBot="1" x14ac:dyDescent="0.3"/>
    <row r="35" spans="1:25" s="66" customFormat="1" ht="21.75" thickTop="1" x14ac:dyDescent="0.2">
      <c r="A35" s="182" t="s">
        <v>154</v>
      </c>
      <c r="B35" s="72" t="s">
        <v>152</v>
      </c>
      <c r="C35" s="80">
        <f>COUNTIF(C7:C32,"NOK")</f>
        <v>5</v>
      </c>
      <c r="D35" s="80">
        <f>COUNTIF(D7:D32,"NOK")</f>
        <v>0</v>
      </c>
      <c r="E35" s="80">
        <f>COUNTIF(E7:E32,"NOK")</f>
        <v>0</v>
      </c>
      <c r="F35" s="98">
        <f>COUNTIF(F7:F32,"NOK")</f>
        <v>0</v>
      </c>
      <c r="G35" s="71"/>
      <c r="H35" s="128" t="s">
        <v>203</v>
      </c>
      <c r="I35" s="128"/>
      <c r="J35" s="128"/>
      <c r="K35" s="128"/>
      <c r="L35" s="71"/>
      <c r="M35" s="71"/>
      <c r="N35" s="71"/>
      <c r="O35" s="71"/>
      <c r="P35" s="71"/>
      <c r="Q35" s="71"/>
      <c r="R35" s="71"/>
      <c r="S35" s="71"/>
      <c r="T35" s="71"/>
      <c r="U35" s="71"/>
      <c r="X35" s="51"/>
      <c r="Y35" s="51"/>
    </row>
    <row r="36" spans="1:25" s="66" customFormat="1" ht="21.75" thickBot="1" x14ac:dyDescent="0.25">
      <c r="A36" s="183"/>
      <c r="B36" s="73" t="s">
        <v>165</v>
      </c>
      <c r="C36" s="82">
        <f>VLOOKUP(C35,$X$6:$Y$32,2,FALSE)</f>
        <v>7</v>
      </c>
      <c r="D36" s="82">
        <f>VLOOKUP(D35,$X$6:$Y$32,2,FALSE)</f>
        <v>9</v>
      </c>
      <c r="E36" s="82">
        <f>VLOOKUP(E35,$X$6:$Y$32,2,FALSE)</f>
        <v>9</v>
      </c>
      <c r="F36" s="83">
        <f>VLOOKUP(F35,$X$6:$Y$32,2,FALSE)</f>
        <v>9</v>
      </c>
      <c r="G36" s="71"/>
      <c r="H36" s="128"/>
      <c r="I36" s="128"/>
      <c r="J36" s="128"/>
      <c r="K36" s="128"/>
      <c r="L36" s="71"/>
      <c r="M36" s="71"/>
      <c r="N36" s="71"/>
      <c r="O36" s="71"/>
      <c r="P36" s="71"/>
      <c r="Q36" s="71"/>
      <c r="R36" s="71"/>
      <c r="S36" s="71"/>
      <c r="T36" s="71"/>
      <c r="U36" s="71"/>
      <c r="X36" s="51"/>
      <c r="Y36" s="51"/>
    </row>
    <row r="37" spans="1:25" ht="20.25" thickTop="1" thickBot="1" x14ac:dyDescent="0.3">
      <c r="A37" s="74" t="s">
        <v>155</v>
      </c>
      <c r="B37" s="75" t="s">
        <v>153</v>
      </c>
      <c r="C37" s="76">
        <v>1</v>
      </c>
      <c r="D37" s="76"/>
      <c r="E37" s="76"/>
      <c r="F37" s="77"/>
      <c r="H37" s="128"/>
      <c r="I37" s="128"/>
      <c r="J37" s="128"/>
      <c r="K37" s="128"/>
      <c r="X37" s="51"/>
      <c r="Y37" s="51"/>
    </row>
    <row r="38" spans="1:25" ht="17.25" thickTop="1" thickBot="1" x14ac:dyDescent="0.3">
      <c r="X38" s="51"/>
      <c r="Y38" s="51"/>
    </row>
    <row r="39" spans="1:25" ht="23.1" customHeight="1" thickTop="1" thickBot="1" x14ac:dyDescent="0.3">
      <c r="A39" s="78"/>
      <c r="B39" s="79" t="s">
        <v>55</v>
      </c>
      <c r="C39" s="84">
        <f>(C36+(C37*0.25))*10</f>
        <v>72.5</v>
      </c>
      <c r="D39" s="84">
        <f t="shared" ref="D39:F39" si="0">(D36+(D37*0.25))*10</f>
        <v>90</v>
      </c>
      <c r="E39" s="84">
        <f t="shared" si="0"/>
        <v>90</v>
      </c>
      <c r="F39" s="85">
        <f t="shared" si="0"/>
        <v>90</v>
      </c>
      <c r="X39" s="51"/>
      <c r="Y39" s="51"/>
    </row>
    <row r="40" spans="1:25" ht="16.5" thickTop="1" x14ac:dyDescent="0.25"/>
  </sheetData>
  <mergeCells count="100">
    <mergeCell ref="A35:A36"/>
    <mergeCell ref="G8:K8"/>
    <mergeCell ref="Q8:U8"/>
    <mergeCell ref="D2:F2"/>
    <mergeCell ref="D3:F3"/>
    <mergeCell ref="A6:B6"/>
    <mergeCell ref="G7:K7"/>
    <mergeCell ref="Q7:U7"/>
    <mergeCell ref="A4:B4"/>
    <mergeCell ref="G9:K9"/>
    <mergeCell ref="Q9:U9"/>
    <mergeCell ref="G10:K10"/>
    <mergeCell ref="Q10:U10"/>
    <mergeCell ref="N9:P9"/>
    <mergeCell ref="N10:P10"/>
    <mergeCell ref="G11:K11"/>
    <mergeCell ref="Q11:U11"/>
    <mergeCell ref="Q12:U12"/>
    <mergeCell ref="N11:P11"/>
    <mergeCell ref="N12:P12"/>
    <mergeCell ref="Q13:U13"/>
    <mergeCell ref="Q14:U14"/>
    <mergeCell ref="N13:P13"/>
    <mergeCell ref="N14:P14"/>
    <mergeCell ref="G18:K18"/>
    <mergeCell ref="G15:K15"/>
    <mergeCell ref="Q18:U18"/>
    <mergeCell ref="Q15:U15"/>
    <mergeCell ref="G16:K16"/>
    <mergeCell ref="Q16:U16"/>
    <mergeCell ref="G17:K17"/>
    <mergeCell ref="Q17:U17"/>
    <mergeCell ref="N15:P15"/>
    <mergeCell ref="N16:P16"/>
    <mergeCell ref="N17:P17"/>
    <mergeCell ref="N18:P18"/>
    <mergeCell ref="Q19:U19"/>
    <mergeCell ref="Q21:U21"/>
    <mergeCell ref="G22:K22"/>
    <mergeCell ref="Q22:U22"/>
    <mergeCell ref="Q20:U20"/>
    <mergeCell ref="G19:K19"/>
    <mergeCell ref="N19:P19"/>
    <mergeCell ref="N20:P20"/>
    <mergeCell ref="N21:P21"/>
    <mergeCell ref="N22:P22"/>
    <mergeCell ref="Q23:U23"/>
    <mergeCell ref="G24:K24"/>
    <mergeCell ref="Q24:U24"/>
    <mergeCell ref="G25:K25"/>
    <mergeCell ref="Q25:U25"/>
    <mergeCell ref="G23:K23"/>
    <mergeCell ref="N23:P23"/>
    <mergeCell ref="N24:P24"/>
    <mergeCell ref="N25:P25"/>
    <mergeCell ref="Q26:U26"/>
    <mergeCell ref="G27:K27"/>
    <mergeCell ref="Q27:U27"/>
    <mergeCell ref="N26:P26"/>
    <mergeCell ref="N27:P27"/>
    <mergeCell ref="A29:A32"/>
    <mergeCell ref="B29:B32"/>
    <mergeCell ref="G13:K13"/>
    <mergeCell ref="A7:A14"/>
    <mergeCell ref="B7:B14"/>
    <mergeCell ref="A15:A19"/>
    <mergeCell ref="B15:B19"/>
    <mergeCell ref="A20:A23"/>
    <mergeCell ref="B20:B23"/>
    <mergeCell ref="G28:K28"/>
    <mergeCell ref="G26:K26"/>
    <mergeCell ref="G21:K21"/>
    <mergeCell ref="G20:K20"/>
    <mergeCell ref="G12:K12"/>
    <mergeCell ref="G31:K31"/>
    <mergeCell ref="G32:K32"/>
    <mergeCell ref="C5:F5"/>
    <mergeCell ref="G5:K6"/>
    <mergeCell ref="L5:P5"/>
    <mergeCell ref="A24:A28"/>
    <mergeCell ref="B24:B28"/>
    <mergeCell ref="N28:P28"/>
    <mergeCell ref="G14:K14"/>
    <mergeCell ref="N7:P7"/>
    <mergeCell ref="H35:K37"/>
    <mergeCell ref="Q5:U5"/>
    <mergeCell ref="N6:P6"/>
    <mergeCell ref="Q6:U6"/>
    <mergeCell ref="N8:P8"/>
    <mergeCell ref="Q30:U30"/>
    <mergeCell ref="Q31:U31"/>
    <mergeCell ref="Q32:U32"/>
    <mergeCell ref="G30:K30"/>
    <mergeCell ref="N30:P30"/>
    <mergeCell ref="N31:P31"/>
    <mergeCell ref="N32:P32"/>
    <mergeCell ref="Q28:U28"/>
    <mergeCell ref="G29:K29"/>
    <mergeCell ref="Q29:U29"/>
    <mergeCell ref="N29:P29"/>
  </mergeCells>
  <conditionalFormatting sqref="C7:F33">
    <cfRule type="cellIs" dxfId="3" priority="1" operator="equal">
      <formula>"NOK"</formula>
    </cfRule>
    <cfRule type="cellIs" dxfId="2" priority="2" operator="equal">
      <formula>"OK"</formula>
    </cfRule>
  </conditionalFormatting>
  <dataValidations count="1">
    <dataValidation type="list" allowBlank="1" showInputMessage="1" showErrorMessage="1" sqref="C7:F33" xr:uid="{00000000-0002-0000-0400-000000000000}">
      <formula1>$C$2:$C$3</formula1>
    </dataValidation>
  </dataValidations>
  <printOptions horizontalCentered="1"/>
  <pageMargins left="0" right="0" top="0" bottom="0" header="0.23622047244094491" footer="0.15748031496062992"/>
  <pageSetup paperSize="9" scale="48"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rgb="FF7030A0"/>
  </sheetPr>
  <dimension ref="A1:Y35"/>
  <sheetViews>
    <sheetView showGridLines="0" view="pageBreakPreview" zoomScale="70" zoomScaleNormal="75" zoomScaleSheetLayoutView="70" workbookViewId="0">
      <selection sqref="A1:G2"/>
    </sheetView>
  </sheetViews>
  <sheetFormatPr baseColWidth="10" defaultRowHeight="15.75" x14ac:dyDescent="0.25"/>
  <cols>
    <col min="1" max="1" width="4.140625" style="52" customWidth="1"/>
    <col min="2" max="2" width="13.5703125" style="49" customWidth="1"/>
    <col min="3" max="6" width="8.7109375" style="49" customWidth="1"/>
    <col min="7" max="7" width="7.140625" style="49" bestFit="1" customWidth="1"/>
    <col min="8" max="8" width="7.5703125" style="49" bestFit="1" customWidth="1"/>
    <col min="9" max="9" width="7.42578125" style="49" customWidth="1"/>
    <col min="10" max="10" width="7" style="50" bestFit="1" customWidth="1"/>
    <col min="11" max="11" width="53.140625" style="49" customWidth="1"/>
    <col min="12" max="13" width="5.7109375" style="49" customWidth="1"/>
    <col min="14" max="16" width="12.7109375" style="49" customWidth="1"/>
    <col min="17" max="17" width="10.7109375" style="49" customWidth="1"/>
    <col min="18" max="18" width="10.42578125" style="49" customWidth="1"/>
    <col min="19" max="19" width="10.140625" style="49" customWidth="1"/>
    <col min="20" max="21" width="9.28515625" style="49" customWidth="1"/>
    <col min="22" max="22" width="4.28515625" style="49" customWidth="1"/>
    <col min="23" max="16384" width="11.42578125" style="49"/>
  </cols>
  <sheetData>
    <row r="1" spans="1:25" ht="45" customHeight="1" x14ac:dyDescent="0.25">
      <c r="A1" s="47"/>
      <c r="B1" s="48"/>
      <c r="C1" s="48"/>
    </row>
    <row r="2" spans="1:25" x14ac:dyDescent="0.25">
      <c r="C2" s="53" t="s">
        <v>145</v>
      </c>
      <c r="D2" s="184" t="s">
        <v>151</v>
      </c>
      <c r="E2" s="185"/>
      <c r="F2" s="186"/>
    </row>
    <row r="3" spans="1:25" ht="22.5" customHeight="1" x14ac:dyDescent="0.25">
      <c r="C3" s="54" t="s">
        <v>144</v>
      </c>
      <c r="D3" s="184" t="s">
        <v>156</v>
      </c>
      <c r="E3" s="185"/>
      <c r="F3" s="186"/>
    </row>
    <row r="4" spans="1:25" s="55" customFormat="1" ht="5.25" customHeight="1" x14ac:dyDescent="0.35">
      <c r="A4" s="189"/>
      <c r="B4" s="189"/>
      <c r="D4" s="56"/>
      <c r="E4" s="56"/>
      <c r="F4" s="56"/>
      <c r="J4" s="57"/>
      <c r="L4" s="58"/>
    </row>
    <row r="5" spans="1:25" ht="18.75" customHeight="1" x14ac:dyDescent="0.25">
      <c r="A5" s="266"/>
      <c r="B5" s="266"/>
      <c r="C5" s="156" t="s">
        <v>146</v>
      </c>
      <c r="D5" s="157"/>
      <c r="E5" s="157"/>
      <c r="F5" s="158"/>
      <c r="G5" s="159" t="s">
        <v>150</v>
      </c>
      <c r="H5" s="160"/>
      <c r="I5" s="160"/>
      <c r="J5" s="160"/>
      <c r="K5" s="161"/>
      <c r="L5" s="165" t="s">
        <v>147</v>
      </c>
      <c r="M5" s="166"/>
      <c r="N5" s="166"/>
      <c r="O5" s="166"/>
      <c r="P5" s="167"/>
      <c r="Q5" s="129" t="s">
        <v>148</v>
      </c>
      <c r="R5" s="130"/>
      <c r="S5" s="130"/>
      <c r="T5" s="130"/>
      <c r="U5" s="131"/>
    </row>
    <row r="6" spans="1:25" ht="39" customHeight="1" thickBot="1" x14ac:dyDescent="0.3">
      <c r="A6" s="187" t="s">
        <v>149</v>
      </c>
      <c r="B6" s="188"/>
      <c r="C6" s="61" t="s">
        <v>1</v>
      </c>
      <c r="D6" s="61" t="s">
        <v>2</v>
      </c>
      <c r="E6" s="61" t="s">
        <v>3</v>
      </c>
      <c r="F6" s="61" t="s">
        <v>4</v>
      </c>
      <c r="G6" s="162"/>
      <c r="H6" s="163"/>
      <c r="I6" s="163"/>
      <c r="J6" s="163"/>
      <c r="K6" s="164"/>
      <c r="L6" s="62"/>
      <c r="M6" s="63"/>
      <c r="N6" s="132"/>
      <c r="O6" s="132"/>
      <c r="P6" s="133"/>
      <c r="Q6" s="134"/>
      <c r="R6" s="135"/>
      <c r="S6" s="135"/>
      <c r="T6" s="135"/>
      <c r="U6" s="136"/>
      <c r="X6" s="49">
        <v>0</v>
      </c>
      <c r="Y6" s="49">
        <v>9</v>
      </c>
    </row>
    <row r="7" spans="1:25" s="66" customFormat="1" ht="30" customHeight="1" thickTop="1" x14ac:dyDescent="0.2">
      <c r="A7" s="234" t="s">
        <v>19</v>
      </c>
      <c r="B7" s="231" t="s">
        <v>127</v>
      </c>
      <c r="C7" s="64" t="s">
        <v>144</v>
      </c>
      <c r="D7" s="64"/>
      <c r="E7" s="64"/>
      <c r="F7" s="64"/>
      <c r="G7" s="150" t="s">
        <v>130</v>
      </c>
      <c r="H7" s="150"/>
      <c r="I7" s="150"/>
      <c r="J7" s="150"/>
      <c r="K7" s="150"/>
      <c r="L7" s="99"/>
      <c r="M7" s="99"/>
      <c r="N7" s="151" t="s">
        <v>219</v>
      </c>
      <c r="O7" s="151"/>
      <c r="P7" s="151"/>
      <c r="Q7" s="151"/>
      <c r="R7" s="151"/>
      <c r="S7" s="151"/>
      <c r="T7" s="151"/>
      <c r="U7" s="152"/>
      <c r="X7" s="66">
        <v>1</v>
      </c>
      <c r="Y7" s="66">
        <v>8</v>
      </c>
    </row>
    <row r="8" spans="1:25" s="66" customFormat="1" ht="30" customHeight="1" x14ac:dyDescent="0.2">
      <c r="A8" s="235"/>
      <c r="B8" s="232"/>
      <c r="C8" s="67" t="s">
        <v>145</v>
      </c>
      <c r="D8" s="67"/>
      <c r="E8" s="67"/>
      <c r="F8" s="67"/>
      <c r="G8" s="144" t="s">
        <v>131</v>
      </c>
      <c r="H8" s="144"/>
      <c r="I8" s="144"/>
      <c r="J8" s="144"/>
      <c r="K8" s="144"/>
      <c r="L8" s="100"/>
      <c r="M8" s="100"/>
      <c r="N8" s="140" t="s">
        <v>220</v>
      </c>
      <c r="O8" s="140"/>
      <c r="P8" s="140"/>
      <c r="Q8" s="140"/>
      <c r="R8" s="140"/>
      <c r="S8" s="140"/>
      <c r="T8" s="140"/>
      <c r="U8" s="141"/>
      <c r="X8" s="66">
        <v>2</v>
      </c>
      <c r="Y8" s="66">
        <v>7</v>
      </c>
    </row>
    <row r="9" spans="1:25" s="66" customFormat="1" ht="30" customHeight="1" x14ac:dyDescent="0.2">
      <c r="A9" s="235"/>
      <c r="B9" s="232"/>
      <c r="C9" s="67" t="s">
        <v>144</v>
      </c>
      <c r="D9" s="67"/>
      <c r="E9" s="67"/>
      <c r="F9" s="67"/>
      <c r="G9" s="144" t="s">
        <v>132</v>
      </c>
      <c r="H9" s="144"/>
      <c r="I9" s="144"/>
      <c r="J9" s="144"/>
      <c r="K9" s="144"/>
      <c r="L9" s="100"/>
      <c r="M9" s="100"/>
      <c r="N9" s="140" t="s">
        <v>226</v>
      </c>
      <c r="O9" s="140"/>
      <c r="P9" s="140"/>
      <c r="Q9" s="140"/>
      <c r="R9" s="140"/>
      <c r="S9" s="140"/>
      <c r="T9" s="140"/>
      <c r="U9" s="141"/>
      <c r="X9" s="66">
        <v>3</v>
      </c>
      <c r="Y9" s="66">
        <v>7</v>
      </c>
    </row>
    <row r="10" spans="1:25" s="66" customFormat="1" ht="30" customHeight="1" thickBot="1" x14ac:dyDescent="0.25">
      <c r="A10" s="236"/>
      <c r="B10" s="233"/>
      <c r="C10" s="69"/>
      <c r="D10" s="69"/>
      <c r="E10" s="69"/>
      <c r="F10" s="69"/>
      <c r="G10" s="180" t="s">
        <v>164</v>
      </c>
      <c r="H10" s="180"/>
      <c r="I10" s="180"/>
      <c r="J10" s="180"/>
      <c r="K10" s="180"/>
      <c r="L10" s="110"/>
      <c r="M10" s="110"/>
      <c r="N10" s="142"/>
      <c r="O10" s="142"/>
      <c r="P10" s="142"/>
      <c r="Q10" s="142"/>
      <c r="R10" s="142"/>
      <c r="S10" s="142"/>
      <c r="T10" s="142"/>
      <c r="U10" s="143"/>
      <c r="X10" s="66">
        <v>4</v>
      </c>
      <c r="Y10" s="66">
        <v>6</v>
      </c>
    </row>
    <row r="11" spans="1:25" s="66" customFormat="1" ht="54.75" customHeight="1" thickTop="1" x14ac:dyDescent="0.2">
      <c r="A11" s="234" t="s">
        <v>20</v>
      </c>
      <c r="B11" s="231" t="s">
        <v>129</v>
      </c>
      <c r="C11" s="64" t="s">
        <v>145</v>
      </c>
      <c r="D11" s="64"/>
      <c r="E11" s="64"/>
      <c r="F11" s="64"/>
      <c r="G11" s="150" t="s">
        <v>133</v>
      </c>
      <c r="H11" s="150"/>
      <c r="I11" s="150"/>
      <c r="J11" s="150"/>
      <c r="K11" s="150"/>
      <c r="L11" s="99"/>
      <c r="M11" s="99"/>
      <c r="N11" s="153" t="s">
        <v>221</v>
      </c>
      <c r="O11" s="154"/>
      <c r="P11" s="155"/>
      <c r="Q11" s="151"/>
      <c r="R11" s="151"/>
      <c r="S11" s="151"/>
      <c r="T11" s="151"/>
      <c r="U11" s="152"/>
      <c r="X11" s="66">
        <v>5</v>
      </c>
      <c r="Y11" s="66">
        <v>6</v>
      </c>
    </row>
    <row r="12" spans="1:25" s="66" customFormat="1" ht="30" customHeight="1" x14ac:dyDescent="0.2">
      <c r="A12" s="235"/>
      <c r="B12" s="232"/>
      <c r="C12" s="67" t="s">
        <v>144</v>
      </c>
      <c r="D12" s="67"/>
      <c r="E12" s="67"/>
      <c r="F12" s="67"/>
      <c r="G12" s="144" t="s">
        <v>138</v>
      </c>
      <c r="H12" s="144"/>
      <c r="I12" s="144"/>
      <c r="J12" s="144"/>
      <c r="K12" s="144"/>
      <c r="L12" s="100"/>
      <c r="M12" s="100"/>
      <c r="N12" s="137" t="s">
        <v>222</v>
      </c>
      <c r="O12" s="138"/>
      <c r="P12" s="139"/>
      <c r="Q12" s="140"/>
      <c r="R12" s="140"/>
      <c r="S12" s="140"/>
      <c r="T12" s="140"/>
      <c r="U12" s="141"/>
      <c r="X12" s="66">
        <v>6</v>
      </c>
      <c r="Y12" s="66">
        <v>6</v>
      </c>
    </row>
    <row r="13" spans="1:25" s="66" customFormat="1" ht="30" customHeight="1" x14ac:dyDescent="0.2">
      <c r="A13" s="235"/>
      <c r="B13" s="232"/>
      <c r="C13" s="67" t="s">
        <v>145</v>
      </c>
      <c r="D13" s="67"/>
      <c r="E13" s="67"/>
      <c r="F13" s="67"/>
      <c r="G13" s="177" t="s">
        <v>134</v>
      </c>
      <c r="H13" s="177"/>
      <c r="I13" s="177"/>
      <c r="J13" s="177"/>
      <c r="K13" s="177"/>
      <c r="L13" s="100"/>
      <c r="M13" s="100"/>
      <c r="N13" s="137" t="s">
        <v>223</v>
      </c>
      <c r="O13" s="138"/>
      <c r="P13" s="139"/>
      <c r="Q13" s="140"/>
      <c r="R13" s="140"/>
      <c r="S13" s="140"/>
      <c r="T13" s="140"/>
      <c r="U13" s="141"/>
      <c r="X13" s="66">
        <v>7</v>
      </c>
      <c r="Y13" s="66">
        <v>5</v>
      </c>
    </row>
    <row r="14" spans="1:25" s="66" customFormat="1" ht="30" customHeight="1" thickBot="1" x14ac:dyDescent="0.25">
      <c r="A14" s="236"/>
      <c r="B14" s="233"/>
      <c r="C14" s="69"/>
      <c r="D14" s="69"/>
      <c r="E14" s="69"/>
      <c r="F14" s="69"/>
      <c r="G14" s="263" t="s">
        <v>164</v>
      </c>
      <c r="H14" s="263"/>
      <c r="I14" s="263"/>
      <c r="J14" s="263"/>
      <c r="K14" s="263"/>
      <c r="L14" s="110"/>
      <c r="M14" s="110"/>
      <c r="N14" s="145"/>
      <c r="O14" s="146"/>
      <c r="P14" s="147"/>
      <c r="Q14" s="142"/>
      <c r="R14" s="142"/>
      <c r="S14" s="142"/>
      <c r="T14" s="142"/>
      <c r="U14" s="143"/>
      <c r="X14" s="66">
        <v>8</v>
      </c>
      <c r="Y14" s="66">
        <v>5</v>
      </c>
    </row>
    <row r="15" spans="1:25" s="66" customFormat="1" ht="30" customHeight="1" thickTop="1" x14ac:dyDescent="0.2">
      <c r="A15" s="252" t="s">
        <v>21</v>
      </c>
      <c r="B15" s="231" t="s">
        <v>128</v>
      </c>
      <c r="C15" s="64" t="s">
        <v>145</v>
      </c>
      <c r="D15" s="64"/>
      <c r="E15" s="64"/>
      <c r="F15" s="64"/>
      <c r="G15" s="150" t="s">
        <v>135</v>
      </c>
      <c r="H15" s="150"/>
      <c r="I15" s="150"/>
      <c r="J15" s="150"/>
      <c r="K15" s="150"/>
      <c r="L15" s="99"/>
      <c r="M15" s="99"/>
      <c r="N15" s="153" t="s">
        <v>224</v>
      </c>
      <c r="O15" s="154"/>
      <c r="P15" s="155"/>
      <c r="Q15" s="151"/>
      <c r="R15" s="151"/>
      <c r="S15" s="151"/>
      <c r="T15" s="151"/>
      <c r="U15" s="152"/>
      <c r="X15" s="66">
        <v>9</v>
      </c>
      <c r="Y15" s="66">
        <v>4</v>
      </c>
    </row>
    <row r="16" spans="1:25" s="66" customFormat="1" ht="30" customHeight="1" x14ac:dyDescent="0.2">
      <c r="A16" s="253"/>
      <c r="B16" s="232"/>
      <c r="C16" s="67" t="s">
        <v>145</v>
      </c>
      <c r="D16" s="67"/>
      <c r="E16" s="67"/>
      <c r="F16" s="67"/>
      <c r="G16" s="144" t="s">
        <v>136</v>
      </c>
      <c r="H16" s="144"/>
      <c r="I16" s="144"/>
      <c r="J16" s="144"/>
      <c r="K16" s="144"/>
      <c r="L16" s="100"/>
      <c r="M16" s="100"/>
      <c r="N16" s="137" t="s">
        <v>225</v>
      </c>
      <c r="O16" s="138"/>
      <c r="P16" s="139"/>
      <c r="Q16" s="140"/>
      <c r="R16" s="140"/>
      <c r="S16" s="140"/>
      <c r="T16" s="140"/>
      <c r="U16" s="141"/>
      <c r="X16" s="66">
        <v>10</v>
      </c>
      <c r="Y16" s="66">
        <v>3</v>
      </c>
    </row>
    <row r="17" spans="1:25" s="66" customFormat="1" ht="30" customHeight="1" x14ac:dyDescent="0.2">
      <c r="A17" s="253"/>
      <c r="B17" s="232"/>
      <c r="C17" s="67" t="s">
        <v>145</v>
      </c>
      <c r="D17" s="67"/>
      <c r="E17" s="67"/>
      <c r="F17" s="67"/>
      <c r="G17" s="144" t="s">
        <v>137</v>
      </c>
      <c r="H17" s="144"/>
      <c r="I17" s="144"/>
      <c r="J17" s="144"/>
      <c r="K17" s="144"/>
      <c r="L17" s="100"/>
      <c r="M17" s="100"/>
      <c r="N17" s="137" t="s">
        <v>225</v>
      </c>
      <c r="O17" s="138"/>
      <c r="P17" s="139"/>
      <c r="Q17" s="140"/>
      <c r="R17" s="140"/>
      <c r="S17" s="140"/>
      <c r="T17" s="140"/>
      <c r="U17" s="141"/>
      <c r="X17" s="66">
        <v>11</v>
      </c>
      <c r="Y17" s="66">
        <v>2</v>
      </c>
    </row>
    <row r="18" spans="1:25" s="66" customFormat="1" ht="30" customHeight="1" thickBot="1" x14ac:dyDescent="0.25">
      <c r="A18" s="253"/>
      <c r="B18" s="232"/>
      <c r="C18" s="108"/>
      <c r="D18" s="108"/>
      <c r="E18" s="108"/>
      <c r="F18" s="108"/>
      <c r="G18" s="180" t="s">
        <v>164</v>
      </c>
      <c r="H18" s="180"/>
      <c r="I18" s="180"/>
      <c r="J18" s="180"/>
      <c r="K18" s="180"/>
      <c r="L18" s="109"/>
      <c r="M18" s="109"/>
      <c r="N18" s="145"/>
      <c r="O18" s="146"/>
      <c r="P18" s="147"/>
      <c r="Q18" s="148"/>
      <c r="R18" s="148"/>
      <c r="S18" s="148"/>
      <c r="T18" s="148"/>
      <c r="U18" s="149"/>
      <c r="X18" s="66">
        <v>12</v>
      </c>
      <c r="Y18" s="66">
        <v>1</v>
      </c>
    </row>
    <row r="19" spans="1:25" s="66" customFormat="1" ht="30" customHeight="1" thickTop="1" x14ac:dyDescent="0.2">
      <c r="A19" s="92"/>
      <c r="B19" s="93"/>
      <c r="C19" s="112"/>
      <c r="D19" s="112"/>
      <c r="E19" s="112"/>
      <c r="F19" s="112"/>
      <c r="G19" s="264"/>
      <c r="H19" s="264"/>
      <c r="I19" s="264"/>
      <c r="J19" s="264"/>
      <c r="K19" s="264"/>
      <c r="L19" s="265"/>
      <c r="M19" s="265"/>
      <c r="N19" s="265"/>
      <c r="O19" s="265"/>
      <c r="P19" s="265"/>
      <c r="Q19" s="265"/>
      <c r="R19" s="265"/>
      <c r="S19" s="265"/>
      <c r="T19" s="265"/>
      <c r="U19" s="265"/>
    </row>
    <row r="20" spans="1:25" s="66" customFormat="1" ht="30" customHeight="1" thickBot="1" x14ac:dyDescent="0.25">
      <c r="A20" s="95"/>
      <c r="B20" s="96"/>
      <c r="C20" s="97"/>
      <c r="D20" s="97"/>
      <c r="E20" s="97"/>
      <c r="F20" s="97"/>
      <c r="G20" s="260"/>
      <c r="H20" s="260"/>
      <c r="I20" s="260"/>
      <c r="J20" s="260"/>
      <c r="K20" s="260"/>
      <c r="L20" s="261"/>
      <c r="M20" s="261"/>
      <c r="N20" s="261"/>
      <c r="O20" s="261"/>
      <c r="P20" s="261"/>
      <c r="Q20" s="261"/>
      <c r="R20" s="261"/>
      <c r="S20" s="261"/>
      <c r="T20" s="261"/>
      <c r="U20" s="261"/>
    </row>
    <row r="21" spans="1:25" s="66" customFormat="1" ht="21.75" thickTop="1" x14ac:dyDescent="0.2">
      <c r="A21" s="182" t="s">
        <v>154</v>
      </c>
      <c r="B21" s="72" t="s">
        <v>152</v>
      </c>
      <c r="C21" s="80">
        <f>COUNTIF(C7:C18,"NOK")</f>
        <v>3</v>
      </c>
      <c r="D21" s="80">
        <f t="shared" ref="D21:F21" si="0">COUNTIF(D7:D18,"NOK")</f>
        <v>0</v>
      </c>
      <c r="E21" s="80">
        <f t="shared" si="0"/>
        <v>0</v>
      </c>
      <c r="F21" s="80">
        <f t="shared" si="0"/>
        <v>0</v>
      </c>
      <c r="G21" s="71"/>
      <c r="H21" s="128" t="s">
        <v>204</v>
      </c>
      <c r="I21" s="128"/>
      <c r="J21" s="128"/>
      <c r="K21" s="128"/>
      <c r="L21" s="71"/>
      <c r="M21" s="71"/>
      <c r="N21" s="71"/>
      <c r="O21" s="71"/>
      <c r="P21" s="71"/>
      <c r="Q21" s="71"/>
      <c r="R21" s="71"/>
      <c r="S21" s="71"/>
      <c r="T21" s="71"/>
      <c r="U21" s="71"/>
    </row>
    <row r="22" spans="1:25" s="66" customFormat="1" ht="21.75" thickBot="1" x14ac:dyDescent="0.25">
      <c r="A22" s="183"/>
      <c r="B22" s="73" t="s">
        <v>165</v>
      </c>
      <c r="C22" s="82">
        <f>VLOOKUP(C21,$X$6:$Y$32,2,FALSE)</f>
        <v>7</v>
      </c>
      <c r="D22" s="82">
        <f t="shared" ref="D22:F22" si="1">VLOOKUP(D21,$X$6:$Y$32,2,FALSE)</f>
        <v>9</v>
      </c>
      <c r="E22" s="82">
        <f t="shared" si="1"/>
        <v>9</v>
      </c>
      <c r="F22" s="83">
        <f t="shared" si="1"/>
        <v>9</v>
      </c>
      <c r="G22" s="71"/>
      <c r="H22" s="128"/>
      <c r="I22" s="128"/>
      <c r="J22" s="128"/>
      <c r="K22" s="128"/>
      <c r="L22" s="71"/>
      <c r="M22" s="71"/>
      <c r="N22" s="71"/>
      <c r="O22" s="71"/>
      <c r="P22" s="71"/>
      <c r="Q22" s="71"/>
      <c r="R22" s="71"/>
      <c r="S22" s="71"/>
      <c r="T22" s="71"/>
      <c r="U22" s="71"/>
    </row>
    <row r="23" spans="1:25" ht="20.25" thickTop="1" thickBot="1" x14ac:dyDescent="0.3">
      <c r="A23" s="74" t="s">
        <v>155</v>
      </c>
      <c r="B23" s="75" t="s">
        <v>153</v>
      </c>
      <c r="C23" s="76"/>
      <c r="D23" s="76"/>
      <c r="E23" s="76"/>
      <c r="F23" s="77"/>
      <c r="H23" s="128"/>
      <c r="I23" s="128"/>
      <c r="J23" s="128"/>
      <c r="K23" s="128"/>
      <c r="X23" s="66"/>
      <c r="Y23" s="66"/>
    </row>
    <row r="24" spans="1:25" ht="17.25" thickTop="1" thickBot="1" x14ac:dyDescent="0.3">
      <c r="X24" s="66"/>
      <c r="Y24" s="66"/>
    </row>
    <row r="25" spans="1:25" ht="23.1" customHeight="1" thickTop="1" thickBot="1" x14ac:dyDescent="0.3">
      <c r="A25" s="78"/>
      <c r="B25" s="79" t="s">
        <v>55</v>
      </c>
      <c r="C25" s="84">
        <f>(C22+(C23*0.25))*10</f>
        <v>70</v>
      </c>
      <c r="D25" s="84">
        <f t="shared" ref="D25:F25" si="2">(D22+(D23*0.25))*10</f>
        <v>90</v>
      </c>
      <c r="E25" s="84">
        <f t="shared" si="2"/>
        <v>90</v>
      </c>
      <c r="F25" s="85">
        <f t="shared" si="2"/>
        <v>90</v>
      </c>
      <c r="X25" s="66"/>
      <c r="Y25" s="66"/>
    </row>
    <row r="26" spans="1:25" s="66" customFormat="1" ht="30" customHeight="1" thickTop="1" x14ac:dyDescent="0.2">
      <c r="A26" s="95"/>
      <c r="B26" s="96"/>
      <c r="C26" s="97"/>
      <c r="D26" s="97"/>
      <c r="E26" s="97"/>
      <c r="F26" s="97"/>
      <c r="G26" s="260"/>
      <c r="H26" s="260"/>
      <c r="I26" s="260"/>
      <c r="J26" s="260"/>
      <c r="K26" s="260"/>
      <c r="L26" s="261"/>
      <c r="M26" s="261"/>
      <c r="N26" s="261"/>
      <c r="O26" s="261"/>
      <c r="P26" s="261"/>
      <c r="Q26" s="261"/>
      <c r="R26" s="261"/>
      <c r="S26" s="261"/>
      <c r="T26" s="261"/>
      <c r="U26" s="261"/>
    </row>
    <row r="27" spans="1:25" s="66" customFormat="1" ht="30" customHeight="1" x14ac:dyDescent="0.2">
      <c r="A27" s="95"/>
      <c r="B27" s="96"/>
      <c r="C27" s="97"/>
      <c r="D27" s="97"/>
      <c r="E27" s="97"/>
      <c r="F27" s="97"/>
      <c r="G27" s="260"/>
      <c r="H27" s="260"/>
      <c r="I27" s="260"/>
      <c r="J27" s="260"/>
      <c r="K27" s="260"/>
      <c r="L27" s="261"/>
      <c r="M27" s="261"/>
      <c r="N27" s="261"/>
      <c r="O27" s="261"/>
      <c r="P27" s="261"/>
      <c r="Q27" s="261"/>
      <c r="R27" s="261"/>
      <c r="S27" s="261"/>
      <c r="T27" s="261"/>
      <c r="U27" s="261"/>
    </row>
    <row r="28" spans="1:25" s="66" customFormat="1" ht="30" customHeight="1" x14ac:dyDescent="0.2">
      <c r="A28" s="95"/>
      <c r="B28" s="96"/>
      <c r="C28" s="97"/>
      <c r="D28" s="97"/>
      <c r="E28" s="97"/>
      <c r="F28" s="97"/>
      <c r="G28" s="260"/>
      <c r="H28" s="260"/>
      <c r="I28" s="260"/>
      <c r="J28" s="260"/>
      <c r="K28" s="260"/>
      <c r="L28" s="261"/>
      <c r="M28" s="261"/>
      <c r="N28" s="261"/>
      <c r="O28" s="261"/>
      <c r="P28" s="261"/>
      <c r="Q28" s="261"/>
      <c r="R28" s="261"/>
      <c r="S28" s="261"/>
      <c r="T28" s="261"/>
      <c r="U28" s="261"/>
    </row>
    <row r="29" spans="1:25" s="66" customFormat="1" ht="30" customHeight="1" x14ac:dyDescent="0.2">
      <c r="A29" s="95"/>
      <c r="B29" s="96"/>
      <c r="C29" s="113"/>
      <c r="D29" s="113"/>
      <c r="E29" s="113"/>
      <c r="F29" s="113"/>
      <c r="G29" s="262"/>
      <c r="H29" s="262"/>
      <c r="I29" s="262"/>
      <c r="J29" s="262"/>
      <c r="K29" s="262"/>
      <c r="L29" s="261"/>
      <c r="M29" s="261"/>
      <c r="N29" s="261"/>
      <c r="O29" s="261"/>
      <c r="P29" s="261"/>
      <c r="Q29" s="261"/>
      <c r="R29" s="261"/>
      <c r="S29" s="261"/>
      <c r="T29" s="261"/>
      <c r="U29" s="261"/>
      <c r="X29" s="51"/>
      <c r="Y29" s="51"/>
    </row>
    <row r="30" spans="1:25" s="66" customFormat="1" ht="30" customHeight="1" x14ac:dyDescent="0.2">
      <c r="A30" s="95"/>
      <c r="B30" s="96"/>
      <c r="C30" s="97"/>
      <c r="D30" s="97"/>
      <c r="E30" s="97"/>
      <c r="F30" s="97"/>
      <c r="G30" s="262"/>
      <c r="H30" s="262"/>
      <c r="I30" s="262"/>
      <c r="J30" s="262"/>
      <c r="K30" s="262"/>
      <c r="L30" s="261"/>
      <c r="M30" s="261"/>
      <c r="N30" s="261"/>
      <c r="O30" s="261"/>
      <c r="P30" s="261"/>
      <c r="Q30" s="261"/>
      <c r="R30" s="261"/>
      <c r="S30" s="261"/>
      <c r="T30" s="261"/>
      <c r="U30" s="261"/>
      <c r="X30" s="51"/>
      <c r="Y30" s="51"/>
    </row>
    <row r="31" spans="1:25" s="66" customFormat="1" ht="30" customHeight="1" x14ac:dyDescent="0.2">
      <c r="A31" s="95"/>
      <c r="B31" s="96"/>
      <c r="C31" s="97"/>
      <c r="D31" s="97"/>
      <c r="E31" s="97"/>
      <c r="F31" s="97"/>
      <c r="G31" s="114"/>
      <c r="H31" s="114"/>
      <c r="I31" s="114"/>
      <c r="J31" s="114"/>
      <c r="K31" s="114"/>
      <c r="L31" s="115"/>
      <c r="M31" s="115"/>
      <c r="N31" s="115"/>
      <c r="O31" s="115"/>
      <c r="P31" s="115"/>
      <c r="Q31" s="115"/>
      <c r="R31" s="115"/>
      <c r="S31" s="115"/>
      <c r="T31" s="115"/>
      <c r="U31" s="115"/>
      <c r="X31" s="51"/>
      <c r="Y31" s="51"/>
    </row>
    <row r="32" spans="1:25" s="66" customFormat="1" ht="30" customHeight="1" x14ac:dyDescent="0.2">
      <c r="A32" s="95"/>
      <c r="B32" s="96"/>
      <c r="C32" s="97"/>
      <c r="D32" s="97"/>
      <c r="E32" s="97"/>
      <c r="F32" s="97"/>
      <c r="G32" s="262"/>
      <c r="H32" s="262"/>
      <c r="I32" s="262"/>
      <c r="J32" s="262"/>
      <c r="K32" s="262"/>
      <c r="L32" s="261"/>
      <c r="M32" s="261"/>
      <c r="N32" s="261"/>
      <c r="O32" s="261"/>
      <c r="P32" s="261"/>
      <c r="Q32" s="261"/>
      <c r="R32" s="261"/>
      <c r="S32" s="261"/>
      <c r="T32" s="261"/>
      <c r="U32" s="261"/>
      <c r="X32" s="51"/>
      <c r="Y32" s="51"/>
    </row>
    <row r="33" spans="1:21" s="66" customFormat="1" ht="30" customHeight="1" x14ac:dyDescent="0.2">
      <c r="A33" s="95"/>
      <c r="B33" s="96"/>
      <c r="C33" s="97"/>
      <c r="D33" s="97"/>
      <c r="E33" s="97"/>
      <c r="F33" s="97"/>
      <c r="G33" s="262"/>
      <c r="H33" s="262"/>
      <c r="I33" s="262"/>
      <c r="J33" s="262"/>
      <c r="K33" s="262"/>
      <c r="L33" s="261"/>
      <c r="M33" s="261"/>
      <c r="N33" s="261"/>
      <c r="O33" s="261"/>
      <c r="P33" s="261"/>
      <c r="Q33" s="261"/>
      <c r="R33" s="261"/>
      <c r="S33" s="261"/>
      <c r="T33" s="261"/>
      <c r="U33" s="261"/>
    </row>
    <row r="34" spans="1:21" s="66" customFormat="1" ht="30" customHeight="1" x14ac:dyDescent="0.2">
      <c r="A34" s="95"/>
      <c r="B34" s="96"/>
      <c r="C34" s="97"/>
      <c r="D34" s="97"/>
      <c r="E34" s="97"/>
      <c r="F34" s="97"/>
      <c r="G34" s="260"/>
      <c r="H34" s="260"/>
      <c r="I34" s="260"/>
      <c r="J34" s="260"/>
      <c r="K34" s="260"/>
      <c r="L34" s="261"/>
      <c r="M34" s="261"/>
      <c r="N34" s="261"/>
      <c r="O34" s="261"/>
      <c r="P34" s="261"/>
      <c r="Q34" s="261"/>
      <c r="R34" s="261"/>
      <c r="S34" s="261"/>
      <c r="T34" s="261"/>
      <c r="U34" s="261"/>
    </row>
    <row r="35" spans="1:21" s="66" customFormat="1" ht="30" customHeight="1" x14ac:dyDescent="0.2">
      <c r="A35" s="95"/>
      <c r="B35" s="96"/>
      <c r="C35" s="97"/>
      <c r="D35" s="97"/>
      <c r="E35" s="97"/>
      <c r="F35" s="97"/>
      <c r="G35" s="260"/>
      <c r="H35" s="260"/>
      <c r="I35" s="260"/>
      <c r="J35" s="260"/>
      <c r="K35" s="260"/>
      <c r="L35" s="261"/>
      <c r="M35" s="261"/>
      <c r="N35" s="261"/>
      <c r="O35" s="261"/>
      <c r="P35" s="261"/>
      <c r="Q35" s="261"/>
      <c r="R35" s="261"/>
      <c r="S35" s="261"/>
      <c r="T35" s="261"/>
      <c r="U35" s="261"/>
    </row>
  </sheetData>
  <mergeCells count="87">
    <mergeCell ref="D2:F2"/>
    <mergeCell ref="D3:F3"/>
    <mergeCell ref="C5:F5"/>
    <mergeCell ref="G5:K6"/>
    <mergeCell ref="L5:P5"/>
    <mergeCell ref="N6:P6"/>
    <mergeCell ref="A6:B6"/>
    <mergeCell ref="G7:K7"/>
    <mergeCell ref="Q7:U7"/>
    <mergeCell ref="A4:B5"/>
    <mergeCell ref="A7:A10"/>
    <mergeCell ref="B7:B10"/>
    <mergeCell ref="G8:K8"/>
    <mergeCell ref="Q8:U8"/>
    <mergeCell ref="G9:K9"/>
    <mergeCell ref="Q9:U9"/>
    <mergeCell ref="G10:K10"/>
    <mergeCell ref="Q10:U10"/>
    <mergeCell ref="Q5:U5"/>
    <mergeCell ref="Q6:U6"/>
    <mergeCell ref="N7:P7"/>
    <mergeCell ref="N8:P8"/>
    <mergeCell ref="Q14:U14"/>
    <mergeCell ref="N13:P13"/>
    <mergeCell ref="N14:P14"/>
    <mergeCell ref="Q15:U15"/>
    <mergeCell ref="Q11:U11"/>
    <mergeCell ref="Q12:U12"/>
    <mergeCell ref="N12:P12"/>
    <mergeCell ref="Q13:U13"/>
    <mergeCell ref="Q16:U16"/>
    <mergeCell ref="N15:P15"/>
    <mergeCell ref="N16:P16"/>
    <mergeCell ref="L20:P20"/>
    <mergeCell ref="Q20:U20"/>
    <mergeCell ref="Q17:U17"/>
    <mergeCell ref="Q18:U18"/>
    <mergeCell ref="G19:K19"/>
    <mergeCell ref="L19:P19"/>
    <mergeCell ref="Q19:U19"/>
    <mergeCell ref="N18:P18"/>
    <mergeCell ref="A21:A22"/>
    <mergeCell ref="G20:K20"/>
    <mergeCell ref="G32:K32"/>
    <mergeCell ref="Q27:U27"/>
    <mergeCell ref="G28:K28"/>
    <mergeCell ref="L28:P28"/>
    <mergeCell ref="Q28:U28"/>
    <mergeCell ref="L29:P29"/>
    <mergeCell ref="Q29:U29"/>
    <mergeCell ref="G26:K26"/>
    <mergeCell ref="L26:P26"/>
    <mergeCell ref="Q26:U26"/>
    <mergeCell ref="G30:K30"/>
    <mergeCell ref="G29:K29"/>
    <mergeCell ref="Q30:U30"/>
    <mergeCell ref="A11:A14"/>
    <mergeCell ref="B11:B14"/>
    <mergeCell ref="A15:A18"/>
    <mergeCell ref="B15:B18"/>
    <mergeCell ref="N9:P9"/>
    <mergeCell ref="N10:P10"/>
    <mergeCell ref="G15:K15"/>
    <mergeCell ref="G13:K13"/>
    <mergeCell ref="G11:K11"/>
    <mergeCell ref="N17:P17"/>
    <mergeCell ref="G16:K16"/>
    <mergeCell ref="G14:K14"/>
    <mergeCell ref="G12:K12"/>
    <mergeCell ref="G17:K17"/>
    <mergeCell ref="G18:K18"/>
    <mergeCell ref="G35:K35"/>
    <mergeCell ref="L35:P35"/>
    <mergeCell ref="Q35:U35"/>
    <mergeCell ref="N11:P11"/>
    <mergeCell ref="L27:P27"/>
    <mergeCell ref="L32:P32"/>
    <mergeCell ref="Q32:U32"/>
    <mergeCell ref="G34:K34"/>
    <mergeCell ref="L34:P34"/>
    <mergeCell ref="Q34:U34"/>
    <mergeCell ref="G33:K33"/>
    <mergeCell ref="L33:P33"/>
    <mergeCell ref="Q33:U33"/>
    <mergeCell ref="L30:P30"/>
    <mergeCell ref="H21:K23"/>
    <mergeCell ref="G27:K27"/>
  </mergeCells>
  <conditionalFormatting sqref="C7:F20 C26:F35">
    <cfRule type="cellIs" dxfId="1" priority="1" operator="equal">
      <formula>"NOK"</formula>
    </cfRule>
    <cfRule type="cellIs" dxfId="0" priority="2" operator="equal">
      <formula>"OK"</formula>
    </cfRule>
  </conditionalFormatting>
  <dataValidations count="1">
    <dataValidation type="list" allowBlank="1" showInputMessage="1" showErrorMessage="1" sqref="C7:F20 C26:F35" xr:uid="{00000000-0002-0000-0500-000000000000}">
      <formula1>$C$2:$C$3</formula1>
    </dataValidation>
  </dataValidations>
  <printOptions horizontalCentered="1"/>
  <pageMargins left="0" right="0" top="0" bottom="0" header="0.23622047244094491" footer="0.15748031496062992"/>
  <pageSetup paperSize="9" scale="61"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1808E-7FF7-4816-915D-57AFE1F63069}">
  <sheetPr codeName="Hoja7">
    <tabColor rgb="FF7030A0"/>
  </sheetPr>
  <dimension ref="A1:N68"/>
  <sheetViews>
    <sheetView showGridLines="0" view="pageBreakPreview" topLeftCell="E1" zoomScale="85" zoomScaleNormal="110" zoomScaleSheetLayoutView="85" workbookViewId="0">
      <selection activeCell="O3" sqref="O3"/>
    </sheetView>
  </sheetViews>
  <sheetFormatPr baseColWidth="10" defaultRowHeight="12.75" x14ac:dyDescent="0.2"/>
  <cols>
    <col min="1" max="1" width="12" style="17" customWidth="1"/>
    <col min="2" max="4" width="10.7109375" style="17" customWidth="1"/>
    <col min="5" max="5" width="12.28515625" style="17" bestFit="1" customWidth="1"/>
    <col min="6" max="6" width="10.7109375" style="17" customWidth="1"/>
    <col min="7" max="7" width="14.42578125" style="17" bestFit="1" customWidth="1"/>
    <col min="8" max="16384" width="11.42578125" style="17"/>
  </cols>
  <sheetData>
    <row r="1" spans="1:14" ht="21" customHeight="1" thickTop="1" x14ac:dyDescent="0.2">
      <c r="A1" s="270" t="s">
        <v>173</v>
      </c>
      <c r="B1" s="271"/>
      <c r="C1" s="271"/>
      <c r="D1" s="271"/>
      <c r="E1" s="271"/>
      <c r="F1" s="271"/>
      <c r="G1" s="272"/>
      <c r="H1" s="270" t="s">
        <v>174</v>
      </c>
      <c r="I1" s="271"/>
      <c r="J1" s="271"/>
      <c r="K1" s="271"/>
      <c r="L1" s="271"/>
      <c r="M1" s="272"/>
      <c r="N1" s="16"/>
    </row>
    <row r="2" spans="1:14" ht="22.5" customHeight="1" thickBot="1" x14ac:dyDescent="0.25">
      <c r="A2" s="273"/>
      <c r="B2" s="274"/>
      <c r="C2" s="274"/>
      <c r="D2" s="274"/>
      <c r="E2" s="274"/>
      <c r="F2" s="274"/>
      <c r="G2" s="275"/>
      <c r="H2" s="273"/>
      <c r="I2" s="274"/>
      <c r="J2" s="274"/>
      <c r="K2" s="274"/>
      <c r="L2" s="274"/>
      <c r="M2" s="275"/>
      <c r="N2" s="16"/>
    </row>
    <row r="3" spans="1:14" ht="16.5" customHeight="1" thickTop="1" x14ac:dyDescent="0.2">
      <c r="A3" s="18"/>
      <c r="B3" s="19"/>
      <c r="C3" s="19"/>
      <c r="D3" s="19"/>
      <c r="E3" s="19"/>
      <c r="F3" s="19"/>
      <c r="G3" s="19"/>
      <c r="H3" s="20"/>
      <c r="I3" s="19"/>
      <c r="J3" s="19"/>
      <c r="K3" s="19"/>
      <c r="L3" s="19"/>
      <c r="M3" s="21"/>
    </row>
    <row r="4" spans="1:14" ht="16.5" customHeight="1" x14ac:dyDescent="0.2">
      <c r="A4" s="16"/>
      <c r="H4" s="22"/>
      <c r="M4" s="23"/>
    </row>
    <row r="5" spans="1:14" ht="16.5" customHeight="1" thickBot="1" x14ac:dyDescent="0.3">
      <c r="A5" s="276" t="s">
        <v>175</v>
      </c>
      <c r="B5" s="277"/>
      <c r="C5" s="277"/>
      <c r="D5" s="277"/>
      <c r="E5" s="277"/>
      <c r="F5" s="277"/>
      <c r="G5" s="277"/>
      <c r="H5" s="22"/>
      <c r="M5" s="23" t="s">
        <v>169</v>
      </c>
    </row>
    <row r="6" spans="1:14" ht="16.5" customHeight="1" x14ac:dyDescent="0.2">
      <c r="A6" s="24"/>
      <c r="B6" s="25" t="s">
        <v>0</v>
      </c>
      <c r="C6" s="25" t="s">
        <v>10</v>
      </c>
      <c r="D6" s="25" t="s">
        <v>11</v>
      </c>
      <c r="E6" s="25" t="s">
        <v>12</v>
      </c>
      <c r="F6" s="25" t="s">
        <v>18</v>
      </c>
      <c r="G6" s="26" t="s">
        <v>23</v>
      </c>
      <c r="H6" s="22"/>
      <c r="M6" s="267">
        <f>G7</f>
        <v>77</v>
      </c>
    </row>
    <row r="7" spans="1:14" ht="16.5" customHeight="1" x14ac:dyDescent="0.2">
      <c r="A7" s="27" t="s">
        <v>166</v>
      </c>
      <c r="B7" s="116">
        <f>'TIPO A 1ªS'!C39</f>
        <v>90</v>
      </c>
      <c r="C7" s="116">
        <f>'TIPO A 2ªS'!C33</f>
        <v>80</v>
      </c>
      <c r="D7" s="116">
        <f>'TIPO A 3ªS'!C38</f>
        <v>72.5</v>
      </c>
      <c r="E7" s="116">
        <f>'TIPO A 4ªS'!C39</f>
        <v>72.5</v>
      </c>
      <c r="F7" s="116">
        <f>'TIPO A 5ª'!C25</f>
        <v>70</v>
      </c>
      <c r="G7" s="117">
        <f>AVERAGE(B7:F7)</f>
        <v>77</v>
      </c>
      <c r="H7" s="22"/>
      <c r="M7" s="268"/>
    </row>
    <row r="8" spans="1:14" ht="16.5" customHeight="1" x14ac:dyDescent="0.2">
      <c r="A8" s="28" t="s">
        <v>26</v>
      </c>
      <c r="B8" s="25">
        <v>90</v>
      </c>
      <c r="C8" s="25">
        <v>80</v>
      </c>
      <c r="D8" s="25">
        <v>70</v>
      </c>
      <c r="E8" s="25">
        <v>70</v>
      </c>
      <c r="F8" s="25">
        <v>70</v>
      </c>
      <c r="G8" s="118">
        <f>AVERAGE(B8:F8)</f>
        <v>76</v>
      </c>
      <c r="H8" s="22"/>
      <c r="M8" s="268"/>
    </row>
    <row r="9" spans="1:14" ht="16.5" customHeight="1" x14ac:dyDescent="0.2">
      <c r="A9" s="29" t="s">
        <v>24</v>
      </c>
      <c r="B9" s="30">
        <v>80</v>
      </c>
      <c r="C9" s="30">
        <v>60</v>
      </c>
      <c r="D9" s="30">
        <v>50</v>
      </c>
      <c r="E9" s="30">
        <v>50</v>
      </c>
      <c r="F9" s="30">
        <v>50</v>
      </c>
      <c r="G9" s="119">
        <f>AVERAGE(B9:F9)</f>
        <v>58</v>
      </c>
      <c r="H9" s="22"/>
      <c r="M9" s="268"/>
    </row>
    <row r="10" spans="1:14" ht="16.5" customHeight="1" thickBot="1" x14ac:dyDescent="0.25">
      <c r="A10" s="31" t="s">
        <v>25</v>
      </c>
      <c r="B10" s="32">
        <v>100</v>
      </c>
      <c r="C10" s="32">
        <v>100</v>
      </c>
      <c r="D10" s="32">
        <v>100</v>
      </c>
      <c r="E10" s="32">
        <v>100</v>
      </c>
      <c r="F10" s="32">
        <v>100</v>
      </c>
      <c r="G10" s="33">
        <v>100</v>
      </c>
      <c r="H10" s="22"/>
      <c r="M10" s="269"/>
    </row>
    <row r="11" spans="1:14" ht="16.5" customHeight="1" x14ac:dyDescent="0.2">
      <c r="A11" s="16"/>
      <c r="H11" s="22"/>
      <c r="M11" s="23"/>
    </row>
    <row r="12" spans="1:14" ht="16.5" customHeight="1" thickBot="1" x14ac:dyDescent="0.25">
      <c r="A12" s="34"/>
      <c r="B12" s="35"/>
      <c r="C12" s="35"/>
      <c r="D12" s="35"/>
      <c r="E12" s="35"/>
      <c r="F12" s="35"/>
      <c r="G12" s="35"/>
      <c r="H12" s="36"/>
      <c r="I12" s="35"/>
      <c r="J12" s="35"/>
      <c r="K12" s="35"/>
      <c r="L12" s="35"/>
      <c r="M12" s="37"/>
    </row>
    <row r="13" spans="1:14" ht="16.5" customHeight="1" thickTop="1" x14ac:dyDescent="0.2">
      <c r="A13" s="18"/>
      <c r="B13" s="19"/>
      <c r="C13" s="19"/>
      <c r="D13" s="19"/>
      <c r="E13" s="19"/>
      <c r="F13" s="19"/>
      <c r="G13" s="19"/>
      <c r="H13" s="20"/>
      <c r="I13" s="19"/>
      <c r="J13" s="19"/>
      <c r="K13" s="19"/>
      <c r="L13" s="19"/>
      <c r="M13" s="21"/>
    </row>
    <row r="14" spans="1:14" ht="16.5" customHeight="1" x14ac:dyDescent="0.2">
      <c r="A14" s="16"/>
      <c r="H14" s="22"/>
      <c r="M14" s="23"/>
    </row>
    <row r="15" spans="1:14" ht="16.5" customHeight="1" thickBot="1" x14ac:dyDescent="0.3">
      <c r="A15" s="276" t="s">
        <v>176</v>
      </c>
      <c r="B15" s="277"/>
      <c r="C15" s="277"/>
      <c r="D15" s="277"/>
      <c r="E15" s="277"/>
      <c r="F15" s="277"/>
      <c r="G15" s="277"/>
      <c r="H15" s="22"/>
      <c r="M15" s="23" t="s">
        <v>169</v>
      </c>
    </row>
    <row r="16" spans="1:14" ht="16.5" customHeight="1" x14ac:dyDescent="0.2">
      <c r="A16" s="24"/>
      <c r="B16" s="25" t="s">
        <v>0</v>
      </c>
      <c r="C16" s="25" t="s">
        <v>10</v>
      </c>
      <c r="D16" s="25" t="s">
        <v>11</v>
      </c>
      <c r="E16" s="25" t="s">
        <v>12</v>
      </c>
      <c r="F16" s="25" t="s">
        <v>18</v>
      </c>
      <c r="G16" s="26" t="s">
        <v>23</v>
      </c>
      <c r="H16" s="22"/>
      <c r="M16" s="267">
        <f>G17</f>
        <v>90</v>
      </c>
    </row>
    <row r="17" spans="1:14" ht="16.5" customHeight="1" x14ac:dyDescent="0.2">
      <c r="A17" s="27" t="s">
        <v>167</v>
      </c>
      <c r="B17" s="116">
        <f>'TIPO A 1ªS'!D39</f>
        <v>90</v>
      </c>
      <c r="C17" s="116">
        <f>'TIPO A 2ªS'!D33</f>
        <v>90</v>
      </c>
      <c r="D17" s="116">
        <f>'TIPO A 3ªS'!D38</f>
        <v>90</v>
      </c>
      <c r="E17" s="116">
        <f>'TIPO A 4ªS'!D39</f>
        <v>90</v>
      </c>
      <c r="F17" s="116">
        <f>'TIPO A 5ª'!D25</f>
        <v>90</v>
      </c>
      <c r="G17" s="117">
        <f>AVERAGE(B17:F17)</f>
        <v>90</v>
      </c>
      <c r="H17" s="22"/>
      <c r="M17" s="268"/>
    </row>
    <row r="18" spans="1:14" ht="16.5" customHeight="1" x14ac:dyDescent="0.2">
      <c r="A18" s="28" t="s">
        <v>26</v>
      </c>
      <c r="B18" s="25">
        <v>90</v>
      </c>
      <c r="C18" s="25">
        <v>80</v>
      </c>
      <c r="D18" s="25">
        <v>70</v>
      </c>
      <c r="E18" s="25">
        <v>70</v>
      </c>
      <c r="F18" s="25">
        <v>70</v>
      </c>
      <c r="G18" s="118">
        <f>AVERAGE(B18:F18)</f>
        <v>76</v>
      </c>
      <c r="H18" s="22"/>
      <c r="M18" s="268"/>
    </row>
    <row r="19" spans="1:14" ht="16.5" customHeight="1" x14ac:dyDescent="0.2">
      <c r="A19" s="29" t="s">
        <v>24</v>
      </c>
      <c r="B19" s="30">
        <v>80</v>
      </c>
      <c r="C19" s="30">
        <v>60</v>
      </c>
      <c r="D19" s="30">
        <v>50</v>
      </c>
      <c r="E19" s="30">
        <v>50</v>
      </c>
      <c r="F19" s="30">
        <v>50</v>
      </c>
      <c r="G19" s="119">
        <f>AVERAGE(B19:F19)</f>
        <v>58</v>
      </c>
      <c r="H19" s="22"/>
      <c r="M19" s="268"/>
    </row>
    <row r="20" spans="1:14" ht="16.5" customHeight="1" thickBot="1" x14ac:dyDescent="0.25">
      <c r="A20" s="31" t="s">
        <v>25</v>
      </c>
      <c r="B20" s="32">
        <v>100</v>
      </c>
      <c r="C20" s="32">
        <v>100</v>
      </c>
      <c r="D20" s="32">
        <v>100</v>
      </c>
      <c r="E20" s="32">
        <v>100</v>
      </c>
      <c r="F20" s="32">
        <v>100</v>
      </c>
      <c r="G20" s="33">
        <v>100</v>
      </c>
      <c r="H20" s="22"/>
      <c r="M20" s="269"/>
    </row>
    <row r="21" spans="1:14" ht="16.5" customHeight="1" x14ac:dyDescent="0.2">
      <c r="A21" s="16"/>
      <c r="H21" s="22"/>
      <c r="M21" s="23"/>
    </row>
    <row r="22" spans="1:14" ht="16.5" customHeight="1" thickBot="1" x14ac:dyDescent="0.25">
      <c r="A22" s="34"/>
      <c r="B22" s="35"/>
      <c r="C22" s="35"/>
      <c r="D22" s="35"/>
      <c r="E22" s="35"/>
      <c r="F22" s="35"/>
      <c r="G22" s="35"/>
      <c r="H22" s="36"/>
      <c r="I22" s="35"/>
      <c r="J22" s="35"/>
      <c r="K22" s="35"/>
      <c r="L22" s="35"/>
      <c r="M22" s="37"/>
    </row>
    <row r="23" spans="1:14" ht="16.5" customHeight="1" thickTop="1" x14ac:dyDescent="0.2">
      <c r="A23" s="18"/>
      <c r="B23" s="19"/>
      <c r="C23" s="19"/>
      <c r="D23" s="19"/>
      <c r="E23" s="19"/>
      <c r="F23" s="19"/>
      <c r="G23" s="19"/>
      <c r="H23" s="18"/>
      <c r="I23" s="19"/>
      <c r="J23" s="19"/>
      <c r="K23" s="19"/>
      <c r="L23" s="19"/>
      <c r="M23" s="21"/>
      <c r="N23" s="16"/>
    </row>
    <row r="24" spans="1:14" ht="16.5" customHeight="1" x14ac:dyDescent="0.2">
      <c r="A24" s="16"/>
      <c r="H24" s="16"/>
      <c r="M24" s="23"/>
      <c r="N24" s="16"/>
    </row>
    <row r="25" spans="1:14" ht="16.5" customHeight="1" thickBot="1" x14ac:dyDescent="0.3">
      <c r="A25" s="276" t="s">
        <v>177</v>
      </c>
      <c r="B25" s="277"/>
      <c r="C25" s="277"/>
      <c r="D25" s="277"/>
      <c r="E25" s="277"/>
      <c r="F25" s="277"/>
      <c r="G25" s="277"/>
      <c r="H25" s="16"/>
      <c r="M25" s="23" t="s">
        <v>169</v>
      </c>
      <c r="N25" s="16"/>
    </row>
    <row r="26" spans="1:14" ht="16.5" customHeight="1" x14ac:dyDescent="0.2">
      <c r="A26" s="24"/>
      <c r="B26" s="25" t="s">
        <v>0</v>
      </c>
      <c r="C26" s="25" t="s">
        <v>10</v>
      </c>
      <c r="D26" s="25" t="s">
        <v>11</v>
      </c>
      <c r="E26" s="25" t="s">
        <v>12</v>
      </c>
      <c r="F26" s="25" t="s">
        <v>18</v>
      </c>
      <c r="G26" s="26" t="s">
        <v>23</v>
      </c>
      <c r="H26" s="16"/>
      <c r="M26" s="267">
        <f>G27</f>
        <v>90</v>
      </c>
      <c r="N26" s="16"/>
    </row>
    <row r="27" spans="1:14" ht="16.5" customHeight="1" x14ac:dyDescent="0.2">
      <c r="A27" s="27" t="s">
        <v>168</v>
      </c>
      <c r="B27" s="116">
        <f>'TIPO A 1ªS'!E39</f>
        <v>90</v>
      </c>
      <c r="C27" s="116">
        <f>'TIPO A 2ªS'!E33</f>
        <v>90</v>
      </c>
      <c r="D27" s="116">
        <f>'TIPO A 2ªS'!E33</f>
        <v>90</v>
      </c>
      <c r="E27" s="116">
        <f>'TIPO A 4ªS'!E39</f>
        <v>90</v>
      </c>
      <c r="F27" s="116">
        <f>'TIPO A 5ª'!E25</f>
        <v>90</v>
      </c>
      <c r="G27" s="117">
        <f>AVERAGE(B27:F27)</f>
        <v>90</v>
      </c>
      <c r="H27" s="16"/>
      <c r="M27" s="268"/>
      <c r="N27" s="16"/>
    </row>
    <row r="28" spans="1:14" ht="16.5" customHeight="1" x14ac:dyDescent="0.2">
      <c r="A28" s="28" t="s">
        <v>26</v>
      </c>
      <c r="B28" s="25">
        <v>90</v>
      </c>
      <c r="C28" s="25">
        <v>80</v>
      </c>
      <c r="D28" s="25">
        <v>70</v>
      </c>
      <c r="E28" s="25">
        <v>70</v>
      </c>
      <c r="F28" s="25">
        <v>70</v>
      </c>
      <c r="G28" s="118">
        <f>AVERAGE(B28:F28)</f>
        <v>76</v>
      </c>
      <c r="H28" s="16"/>
      <c r="M28" s="268"/>
      <c r="N28" s="16"/>
    </row>
    <row r="29" spans="1:14" ht="16.5" customHeight="1" x14ac:dyDescent="0.2">
      <c r="A29" s="29" t="s">
        <v>24</v>
      </c>
      <c r="B29" s="30">
        <v>80</v>
      </c>
      <c r="C29" s="30">
        <v>60</v>
      </c>
      <c r="D29" s="30">
        <v>50</v>
      </c>
      <c r="E29" s="30">
        <v>50</v>
      </c>
      <c r="F29" s="30">
        <v>50</v>
      </c>
      <c r="G29" s="119">
        <f>AVERAGE(B29:F29)</f>
        <v>58</v>
      </c>
      <c r="H29" s="16"/>
      <c r="M29" s="268"/>
      <c r="N29" s="16"/>
    </row>
    <row r="30" spans="1:14" ht="16.5" customHeight="1" thickBot="1" x14ac:dyDescent="0.25">
      <c r="A30" s="31" t="s">
        <v>25</v>
      </c>
      <c r="B30" s="32">
        <v>100</v>
      </c>
      <c r="C30" s="32">
        <v>100</v>
      </c>
      <c r="D30" s="32">
        <v>100</v>
      </c>
      <c r="E30" s="32">
        <v>100</v>
      </c>
      <c r="F30" s="32">
        <v>100</v>
      </c>
      <c r="G30" s="33">
        <v>100</v>
      </c>
      <c r="H30" s="16"/>
      <c r="M30" s="269"/>
      <c r="N30" s="16"/>
    </row>
    <row r="31" spans="1:14" ht="16.5" customHeight="1" x14ac:dyDescent="0.2">
      <c r="A31" s="16"/>
      <c r="H31" s="16"/>
      <c r="M31" s="23"/>
      <c r="N31" s="16"/>
    </row>
    <row r="32" spans="1:14" ht="16.5" customHeight="1" thickBot="1" x14ac:dyDescent="0.25">
      <c r="A32" s="34"/>
      <c r="B32" s="35"/>
      <c r="C32" s="35"/>
      <c r="D32" s="35"/>
      <c r="E32" s="35"/>
      <c r="F32" s="35"/>
      <c r="G32" s="35"/>
      <c r="H32" s="34"/>
      <c r="I32" s="35"/>
      <c r="J32" s="35"/>
      <c r="K32" s="35"/>
      <c r="L32" s="35"/>
      <c r="M32" s="37"/>
      <c r="N32" s="16"/>
    </row>
    <row r="33" spans="1:14" ht="16.5" customHeight="1" thickTop="1" x14ac:dyDescent="0.2">
      <c r="H33" s="16"/>
      <c r="N33" s="16"/>
    </row>
    <row r="34" spans="1:14" ht="16.5" customHeight="1" x14ac:dyDescent="0.2">
      <c r="H34" s="16"/>
      <c r="N34" s="16"/>
    </row>
    <row r="35" spans="1:14" ht="16.5" customHeight="1" thickBot="1" x14ac:dyDescent="0.3">
      <c r="A35" s="277" t="s">
        <v>178</v>
      </c>
      <c r="B35" s="277"/>
      <c r="C35" s="277"/>
      <c r="D35" s="277"/>
      <c r="E35" s="277"/>
      <c r="F35" s="277"/>
      <c r="G35" s="277"/>
      <c r="H35" s="16"/>
      <c r="M35" s="17" t="s">
        <v>169</v>
      </c>
      <c r="N35" s="16"/>
    </row>
    <row r="36" spans="1:14" ht="16.5" customHeight="1" x14ac:dyDescent="0.2">
      <c r="A36" s="38"/>
      <c r="B36" s="25" t="s">
        <v>0</v>
      </c>
      <c r="C36" s="25" t="s">
        <v>10</v>
      </c>
      <c r="D36" s="25" t="s">
        <v>11</v>
      </c>
      <c r="E36" s="25" t="s">
        <v>12</v>
      </c>
      <c r="F36" s="25" t="s">
        <v>18</v>
      </c>
      <c r="G36" s="26" t="s">
        <v>23</v>
      </c>
      <c r="H36" s="16"/>
      <c r="M36" s="281">
        <f>G37</f>
        <v>90</v>
      </c>
      <c r="N36" s="16"/>
    </row>
    <row r="37" spans="1:14" ht="16.5" customHeight="1" x14ac:dyDescent="0.2">
      <c r="A37" s="39" t="s">
        <v>170</v>
      </c>
      <c r="B37" s="116">
        <f>'TIPO A 1ªS'!F39</f>
        <v>90</v>
      </c>
      <c r="C37" s="116">
        <f>'TIPO A 2ªS'!F33</f>
        <v>90</v>
      </c>
      <c r="D37" s="116">
        <f>'TIPO A 3ªS'!F38</f>
        <v>90</v>
      </c>
      <c r="E37" s="116">
        <f>'TIPO A 4ªS'!F39</f>
        <v>90</v>
      </c>
      <c r="F37" s="116">
        <f>'TIPO A 5ª'!F25</f>
        <v>90</v>
      </c>
      <c r="G37" s="117">
        <f>AVERAGE(B37:F37)</f>
        <v>90</v>
      </c>
      <c r="H37" s="16"/>
      <c r="M37" s="282"/>
      <c r="N37" s="16"/>
    </row>
    <row r="38" spans="1:14" ht="16.5" customHeight="1" x14ac:dyDescent="0.2">
      <c r="A38" s="25" t="s">
        <v>26</v>
      </c>
      <c r="B38" s="25">
        <v>90</v>
      </c>
      <c r="C38" s="25">
        <v>80</v>
      </c>
      <c r="D38" s="25">
        <v>70</v>
      </c>
      <c r="E38" s="25">
        <v>70</v>
      </c>
      <c r="F38" s="25">
        <v>70</v>
      </c>
      <c r="G38" s="118">
        <f>AVERAGE(B38:F38)</f>
        <v>76</v>
      </c>
      <c r="H38" s="16"/>
      <c r="M38" s="282"/>
      <c r="N38" s="16"/>
    </row>
    <row r="39" spans="1:14" ht="16.5" customHeight="1" x14ac:dyDescent="0.2">
      <c r="A39" s="40" t="s">
        <v>24</v>
      </c>
      <c r="B39" s="30">
        <v>80</v>
      </c>
      <c r="C39" s="30">
        <v>60</v>
      </c>
      <c r="D39" s="30">
        <v>50</v>
      </c>
      <c r="E39" s="30">
        <v>50</v>
      </c>
      <c r="F39" s="30">
        <v>50</v>
      </c>
      <c r="G39" s="119">
        <f>AVERAGE(B39:F39)</f>
        <v>58</v>
      </c>
      <c r="H39" s="16"/>
      <c r="M39" s="282"/>
      <c r="N39" s="16"/>
    </row>
    <row r="40" spans="1:14" ht="16.5" customHeight="1" thickBot="1" x14ac:dyDescent="0.25">
      <c r="A40" s="41" t="s">
        <v>25</v>
      </c>
      <c r="B40" s="32">
        <v>100</v>
      </c>
      <c r="C40" s="32">
        <v>100</v>
      </c>
      <c r="D40" s="32">
        <v>100</v>
      </c>
      <c r="E40" s="32">
        <v>100</v>
      </c>
      <c r="F40" s="32">
        <v>100</v>
      </c>
      <c r="G40" s="33">
        <v>100</v>
      </c>
      <c r="H40" s="16"/>
      <c r="M40" s="283"/>
      <c r="N40" s="16"/>
    </row>
    <row r="41" spans="1:14" ht="16.5" customHeight="1" x14ac:dyDescent="0.2">
      <c r="H41" s="16"/>
      <c r="N41" s="16"/>
    </row>
    <row r="42" spans="1:14" ht="16.5" customHeight="1" thickBot="1" x14ac:dyDescent="0.25">
      <c r="H42" s="16"/>
      <c r="N42" s="16"/>
    </row>
    <row r="43" spans="1:14" ht="16.5" customHeight="1" thickTop="1" x14ac:dyDescent="0.2">
      <c r="A43" s="18"/>
      <c r="B43" s="19"/>
      <c r="C43" s="19"/>
      <c r="D43" s="19"/>
      <c r="E43" s="19"/>
      <c r="F43" s="19"/>
      <c r="G43" s="19"/>
      <c r="H43" s="19"/>
      <c r="I43" s="19"/>
      <c r="J43" s="19"/>
      <c r="K43" s="19"/>
      <c r="L43" s="19"/>
      <c r="M43" s="21"/>
    </row>
    <row r="44" spans="1:14" ht="16.5" customHeight="1" thickBot="1" x14ac:dyDescent="0.3">
      <c r="A44" s="284" t="s">
        <v>27</v>
      </c>
      <c r="B44" s="285"/>
      <c r="C44" s="286"/>
      <c r="D44" s="42"/>
      <c r="E44" s="277" t="s">
        <v>179</v>
      </c>
      <c r="F44" s="277"/>
      <c r="G44" s="277"/>
      <c r="H44" s="277"/>
      <c r="I44" s="277"/>
      <c r="J44" s="277"/>
      <c r="K44" s="277"/>
      <c r="L44" s="43" t="s">
        <v>169</v>
      </c>
      <c r="M44" s="23"/>
    </row>
    <row r="45" spans="1:14" ht="16.5" customHeight="1" x14ac:dyDescent="0.2">
      <c r="A45" s="44" t="s">
        <v>22</v>
      </c>
      <c r="B45" s="43" t="s">
        <v>23</v>
      </c>
      <c r="C45" s="45" t="s">
        <v>26</v>
      </c>
      <c r="E45" s="38"/>
      <c r="F45" s="25" t="s">
        <v>0</v>
      </c>
      <c r="G45" s="25" t="s">
        <v>10</v>
      </c>
      <c r="H45" s="25" t="s">
        <v>11</v>
      </c>
      <c r="I45" s="25" t="s">
        <v>12</v>
      </c>
      <c r="J45" s="25" t="s">
        <v>18</v>
      </c>
      <c r="K45" s="25" t="s">
        <v>23</v>
      </c>
      <c r="L45" s="278">
        <f>K46</f>
        <v>80.099999999999994</v>
      </c>
      <c r="M45" s="23"/>
    </row>
    <row r="46" spans="1:14" ht="16.5" customHeight="1" x14ac:dyDescent="0.2">
      <c r="A46" s="46" t="s">
        <v>1</v>
      </c>
      <c r="B46" s="120">
        <f>G7</f>
        <v>77</v>
      </c>
      <c r="C46" s="121">
        <f>$G$8</f>
        <v>76</v>
      </c>
      <c r="E46" s="39" t="s">
        <v>171</v>
      </c>
      <c r="F46" s="116">
        <f t="shared" ref="F46:K46" si="0">AVERAGE(B7:B28)</f>
        <v>90</v>
      </c>
      <c r="G46" s="116">
        <f t="shared" si="0"/>
        <v>82</v>
      </c>
      <c r="H46" s="116">
        <f t="shared" si="0"/>
        <v>76.25</v>
      </c>
      <c r="I46" s="116">
        <f t="shared" si="0"/>
        <v>76.25</v>
      </c>
      <c r="J46" s="116">
        <f t="shared" si="0"/>
        <v>76</v>
      </c>
      <c r="K46" s="116">
        <f t="shared" si="0"/>
        <v>80.099999999999994</v>
      </c>
      <c r="L46" s="279"/>
      <c r="M46" s="23"/>
    </row>
    <row r="47" spans="1:14" ht="16.5" customHeight="1" x14ac:dyDescent="0.2">
      <c r="A47" s="46" t="s">
        <v>2</v>
      </c>
      <c r="B47" s="120">
        <f>G17</f>
        <v>90</v>
      </c>
      <c r="C47" s="121">
        <f>$G$8</f>
        <v>76</v>
      </c>
      <c r="E47" s="25" t="s">
        <v>26</v>
      </c>
      <c r="F47" s="25">
        <v>90</v>
      </c>
      <c r="G47" s="25">
        <v>80</v>
      </c>
      <c r="H47" s="25">
        <v>70</v>
      </c>
      <c r="I47" s="25">
        <v>70</v>
      </c>
      <c r="J47" s="25">
        <v>70</v>
      </c>
      <c r="K47" s="122">
        <f>AVERAGE(F47:J47)</f>
        <v>76</v>
      </c>
      <c r="L47" s="279"/>
      <c r="M47" s="23"/>
    </row>
    <row r="48" spans="1:14" ht="16.5" customHeight="1" x14ac:dyDescent="0.2">
      <c r="A48" s="46" t="s">
        <v>3</v>
      </c>
      <c r="B48" s="120">
        <f>G27</f>
        <v>90</v>
      </c>
      <c r="C48" s="121">
        <f>$G$8</f>
        <v>76</v>
      </c>
      <c r="E48" s="40" t="s">
        <v>24</v>
      </c>
      <c r="F48" s="30">
        <v>80</v>
      </c>
      <c r="G48" s="30">
        <v>60</v>
      </c>
      <c r="H48" s="30">
        <v>50</v>
      </c>
      <c r="I48" s="30">
        <v>50</v>
      </c>
      <c r="J48" s="30">
        <v>50</v>
      </c>
      <c r="K48" s="123">
        <f>AVERAGE(F48:J48)</f>
        <v>58</v>
      </c>
      <c r="L48" s="279"/>
      <c r="M48" s="23"/>
    </row>
    <row r="49" spans="1:13" ht="16.5" customHeight="1" thickBot="1" x14ac:dyDescent="0.25">
      <c r="A49" s="46" t="s">
        <v>4</v>
      </c>
      <c r="B49" s="120">
        <f>G37</f>
        <v>90</v>
      </c>
      <c r="C49" s="121">
        <f>$G$8</f>
        <v>76</v>
      </c>
      <c r="E49" s="41" t="s">
        <v>25</v>
      </c>
      <c r="F49" s="32">
        <v>100</v>
      </c>
      <c r="G49" s="32">
        <v>100</v>
      </c>
      <c r="H49" s="32">
        <v>100</v>
      </c>
      <c r="I49" s="32">
        <v>100</v>
      </c>
      <c r="J49" s="32">
        <v>100</v>
      </c>
      <c r="K49" s="32">
        <v>100</v>
      </c>
      <c r="L49" s="280"/>
      <c r="M49" s="23"/>
    </row>
    <row r="50" spans="1:13" ht="16.5" customHeight="1" x14ac:dyDescent="0.2">
      <c r="A50" s="16"/>
      <c r="M50" s="23"/>
    </row>
    <row r="51" spans="1:13" ht="16.5" customHeight="1" x14ac:dyDescent="0.2">
      <c r="A51" s="16"/>
      <c r="M51" s="23"/>
    </row>
    <row r="52" spans="1:13" ht="16.5" customHeight="1" x14ac:dyDescent="0.2">
      <c r="A52" s="16"/>
      <c r="M52" s="23"/>
    </row>
    <row r="53" spans="1:13" ht="16.5" customHeight="1" x14ac:dyDescent="0.2">
      <c r="A53" s="16"/>
      <c r="M53" s="23"/>
    </row>
    <row r="54" spans="1:13" ht="16.5" customHeight="1" x14ac:dyDescent="0.2">
      <c r="A54" s="16"/>
      <c r="M54" s="23"/>
    </row>
    <row r="55" spans="1:13" ht="16.5" customHeight="1" x14ac:dyDescent="0.2">
      <c r="A55" s="16"/>
      <c r="M55" s="23"/>
    </row>
    <row r="56" spans="1:13" ht="16.5" customHeight="1" x14ac:dyDescent="0.2">
      <c r="A56" s="16"/>
      <c r="M56" s="23"/>
    </row>
    <row r="57" spans="1:13" ht="16.5" customHeight="1" x14ac:dyDescent="0.2">
      <c r="A57" s="16"/>
      <c r="M57" s="23"/>
    </row>
    <row r="58" spans="1:13" ht="16.5" customHeight="1" x14ac:dyDescent="0.2">
      <c r="A58" s="16"/>
      <c r="M58" s="23"/>
    </row>
    <row r="59" spans="1:13" ht="16.5" customHeight="1" x14ac:dyDescent="0.2">
      <c r="A59" s="16"/>
      <c r="M59" s="23"/>
    </row>
    <row r="60" spans="1:13" ht="16.5" customHeight="1" x14ac:dyDescent="0.2">
      <c r="A60" s="16"/>
      <c r="M60" s="23"/>
    </row>
    <row r="61" spans="1:13" ht="16.5" customHeight="1" x14ac:dyDescent="0.2">
      <c r="A61" s="16"/>
      <c r="M61" s="23"/>
    </row>
    <row r="62" spans="1:13" ht="16.5" customHeight="1" x14ac:dyDescent="0.2">
      <c r="A62" s="16"/>
      <c r="M62" s="23"/>
    </row>
    <row r="63" spans="1:13" ht="16.5" customHeight="1" x14ac:dyDescent="0.2">
      <c r="A63" s="16"/>
      <c r="M63" s="23"/>
    </row>
    <row r="64" spans="1:13" ht="16.5" customHeight="1" x14ac:dyDescent="0.2">
      <c r="A64" s="16"/>
      <c r="M64" s="23"/>
    </row>
    <row r="65" spans="1:13" ht="16.5" customHeight="1" x14ac:dyDescent="0.2">
      <c r="A65" s="16"/>
      <c r="M65" s="23"/>
    </row>
    <row r="66" spans="1:13" ht="16.5" customHeight="1" x14ac:dyDescent="0.2">
      <c r="A66" s="16"/>
      <c r="M66" s="23"/>
    </row>
    <row r="67" spans="1:13" ht="16.5" customHeight="1" thickBot="1" x14ac:dyDescent="0.25">
      <c r="A67" s="34"/>
      <c r="B67" s="35"/>
      <c r="C67" s="35"/>
      <c r="D67" s="35"/>
      <c r="E67" s="35"/>
      <c r="F67" s="35"/>
      <c r="G67" s="35"/>
      <c r="H67" s="35"/>
      <c r="I67" s="35"/>
      <c r="J67" s="35"/>
      <c r="K67" s="35"/>
      <c r="L67" s="35"/>
      <c r="M67" s="37"/>
    </row>
    <row r="68" spans="1:13" ht="13.5" thickTop="1" x14ac:dyDescent="0.2"/>
  </sheetData>
  <mergeCells count="13">
    <mergeCell ref="L45:L49"/>
    <mergeCell ref="A25:G25"/>
    <mergeCell ref="M26:M30"/>
    <mergeCell ref="A35:G35"/>
    <mergeCell ref="M36:M40"/>
    <mergeCell ref="A44:C44"/>
    <mergeCell ref="E44:K44"/>
    <mergeCell ref="M16:M20"/>
    <mergeCell ref="A1:G2"/>
    <mergeCell ref="H1:M2"/>
    <mergeCell ref="A5:G5"/>
    <mergeCell ref="M6:M10"/>
    <mergeCell ref="A15:G15"/>
  </mergeCells>
  <printOptions horizontalCentered="1" verticalCentered="1"/>
  <pageMargins left="0.23622047244094491" right="0.15748031496062992" top="0.27559055118110237" bottom="0.19685039370078741" header="0.27559055118110237" footer="0.19685039370078741"/>
  <pageSetup paperSize="9" scale="97" orientation="landscape" horizontalDpi="4294967293"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7</vt:i4>
      </vt:variant>
    </vt:vector>
  </HeadingPairs>
  <TitlesOfParts>
    <vt:vector size="14" baseType="lpstr">
      <vt:lpstr>TIPO A Comienzo</vt:lpstr>
      <vt:lpstr>TIPO A 1ªS</vt:lpstr>
      <vt:lpstr>TIPO A 2ªS</vt:lpstr>
      <vt:lpstr>TIPO A 3ªS</vt:lpstr>
      <vt:lpstr>TIPO A 4ªS</vt:lpstr>
      <vt:lpstr>TIPO A 5ª</vt:lpstr>
      <vt:lpstr>TIPO A Diagrama Radar T1</vt:lpstr>
      <vt:lpstr>'TIPO A 1ªS'!Área_de_impresión</vt:lpstr>
      <vt:lpstr>'TIPO A 2ªS'!Área_de_impresión</vt:lpstr>
      <vt:lpstr>'TIPO A 3ªS'!Área_de_impresión</vt:lpstr>
      <vt:lpstr>'TIPO A 4ªS'!Área_de_impresión</vt:lpstr>
      <vt:lpstr>'TIPO A 5ª'!Área_de_impresión</vt:lpstr>
      <vt:lpstr>'TIPO A Comienzo'!Área_de_impresión</vt:lpstr>
      <vt:lpstr>'TIPO A Diagrama Radar T1'!Área_de_impresión</vt:lpstr>
    </vt:vector>
  </TitlesOfParts>
  <Company>ECOTECNIA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a_soldado</dc:creator>
  <cp:lastModifiedBy>Toño Pinilla Jimenez</cp:lastModifiedBy>
  <cp:lastPrinted>2020-09-24T08:42:20Z</cp:lastPrinted>
  <dcterms:created xsi:type="dcterms:W3CDTF">2009-11-30T09:18:00Z</dcterms:created>
  <dcterms:modified xsi:type="dcterms:W3CDTF">2026-05-21T21:14:51Z</dcterms:modified>
</cp:coreProperties>
</file>